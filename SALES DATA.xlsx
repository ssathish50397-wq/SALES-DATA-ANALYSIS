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4E521A5B-1222-4FA7-824C-19D2980CC9C4}" xr6:coauthVersionLast="47" xr6:coauthVersionMax="47" xr10:uidLastSave="{00000000-0000-0000-0000-000000000000}"/>
  <bookViews>
    <workbookView xWindow="-120" yWindow="-120" windowWidth="20730" windowHeight="11040" activeTab="1" xr2:uid="{00000000-000D-0000-FFFF-FFFF00000000}"/>
  </bookViews>
  <sheets>
    <sheet name="PIVOT TABLE" sheetId="2" r:id="rId1"/>
    <sheet name="dashboard" sheetId="3" r:id="rId2"/>
    <sheet name="Sales Data" sheetId="1" r:id="rId3"/>
  </sheets>
  <definedNames>
    <definedName name="Slicer_Payment_Method">#N/A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2" i="1"/>
  <c r="U3" i="1" a="1"/>
  <c r="U3" i="1"/>
  <c r="U4" i="1" a="1"/>
  <c r="U4" i="1"/>
  <c r="U5" i="1" a="1"/>
  <c r="U5" i="1" s="1"/>
  <c r="U6" i="1" a="1"/>
  <c r="U6" i="1" s="1"/>
  <c r="U7" i="1" a="1"/>
  <c r="U7" i="1"/>
  <c r="U8" i="1" a="1"/>
  <c r="U8" i="1"/>
  <c r="U9" i="1" a="1"/>
  <c r="U9" i="1" s="1"/>
  <c r="U10" i="1" a="1"/>
  <c r="U10" i="1" s="1"/>
  <c r="U11" i="1" a="1"/>
  <c r="U11" i="1" s="1"/>
  <c r="U12" i="1" a="1"/>
  <c r="U12" i="1"/>
  <c r="U13" i="1" a="1"/>
  <c r="U13" i="1" s="1"/>
  <c r="U14" i="1" a="1"/>
  <c r="U14" i="1" s="1"/>
  <c r="U15" i="1" a="1"/>
  <c r="U15" i="1"/>
  <c r="U16" i="1" a="1"/>
  <c r="U16" i="1" s="1"/>
  <c r="U17" i="1" a="1"/>
  <c r="U17" i="1" s="1"/>
  <c r="U18" i="1" a="1"/>
  <c r="U18" i="1" s="1"/>
  <c r="U19" i="1" a="1"/>
  <c r="U19" i="1"/>
  <c r="U20" i="1" a="1"/>
  <c r="U20" i="1"/>
  <c r="U21" i="1" a="1"/>
  <c r="U21" i="1" s="1"/>
  <c r="U22" i="1" a="1"/>
  <c r="U22" i="1" s="1"/>
  <c r="U23" i="1" a="1"/>
  <c r="U23" i="1"/>
  <c r="U24" i="1" a="1"/>
  <c r="U24" i="1"/>
  <c r="U25" i="1" a="1"/>
  <c r="U25" i="1" s="1"/>
  <c r="U26" i="1" a="1"/>
  <c r="U26" i="1" s="1"/>
  <c r="U27" i="1" a="1"/>
  <c r="U27" i="1" s="1"/>
  <c r="U28" i="1" a="1"/>
  <c r="U28" i="1"/>
  <c r="U29" i="1" a="1"/>
  <c r="U29" i="1" s="1"/>
  <c r="U30" i="1" a="1"/>
  <c r="U30" i="1" s="1"/>
  <c r="U31" i="1" a="1"/>
  <c r="U31" i="1"/>
  <c r="U32" i="1" a="1"/>
  <c r="U32" i="1" s="1"/>
  <c r="U33" i="1" a="1"/>
  <c r="U33" i="1" s="1"/>
  <c r="U34" i="1" a="1"/>
  <c r="U34" i="1" s="1"/>
  <c r="U35" i="1" a="1"/>
  <c r="U35" i="1"/>
  <c r="U36" i="1" a="1"/>
  <c r="U36" i="1"/>
  <c r="U37" i="1" a="1"/>
  <c r="U37" i="1" s="1"/>
  <c r="U38" i="1" a="1"/>
  <c r="U38" i="1" s="1"/>
  <c r="U39" i="1" a="1"/>
  <c r="U39" i="1"/>
  <c r="U40" i="1" a="1"/>
  <c r="U40" i="1"/>
  <c r="U41" i="1" a="1"/>
  <c r="U41" i="1" s="1"/>
  <c r="U42" i="1" a="1"/>
  <c r="U42" i="1" s="1"/>
  <c r="U43" i="1" a="1"/>
  <c r="U43" i="1" s="1"/>
  <c r="U44" i="1" a="1"/>
  <c r="U44" i="1"/>
  <c r="U45" i="1" a="1"/>
  <c r="U45" i="1" s="1"/>
  <c r="U46" i="1" a="1"/>
  <c r="U46" i="1" s="1"/>
  <c r="U47" i="1" a="1"/>
  <c r="U47" i="1"/>
  <c r="U48" i="1" a="1"/>
  <c r="U48" i="1" s="1"/>
  <c r="U49" i="1" a="1"/>
  <c r="U49" i="1" s="1"/>
  <c r="U50" i="1" a="1"/>
  <c r="U50" i="1" s="1"/>
  <c r="U51" i="1" a="1"/>
  <c r="U51" i="1"/>
  <c r="U52" i="1" a="1"/>
  <c r="U52" i="1"/>
  <c r="U53" i="1" a="1"/>
  <c r="U53" i="1" s="1"/>
  <c r="U54" i="1" a="1"/>
  <c r="U54" i="1" s="1"/>
  <c r="U55" i="1" a="1"/>
  <c r="U55" i="1"/>
  <c r="U56" i="1" a="1"/>
  <c r="U56" i="1"/>
  <c r="U57" i="1" a="1"/>
  <c r="U57" i="1" s="1"/>
  <c r="U58" i="1" a="1"/>
  <c r="U58" i="1" s="1"/>
  <c r="U59" i="1" a="1"/>
  <c r="U59" i="1" s="1"/>
  <c r="U60" i="1" a="1"/>
  <c r="U60" i="1"/>
  <c r="U61" i="1" a="1"/>
  <c r="U61" i="1" s="1"/>
  <c r="U62" i="1" a="1"/>
  <c r="U62" i="1" s="1"/>
  <c r="U63" i="1" a="1"/>
  <c r="U63" i="1"/>
  <c r="U64" i="1" a="1"/>
  <c r="U64" i="1" s="1"/>
  <c r="U65" i="1" a="1"/>
  <c r="U65" i="1" s="1"/>
  <c r="U66" i="1" a="1"/>
  <c r="U66" i="1" s="1"/>
  <c r="U67" i="1" a="1"/>
  <c r="U67" i="1"/>
  <c r="U68" i="1" a="1"/>
  <c r="U68" i="1"/>
  <c r="U69" i="1" a="1"/>
  <c r="U69" i="1" s="1"/>
  <c r="U70" i="1" a="1"/>
  <c r="U70" i="1" s="1"/>
  <c r="U71" i="1" a="1"/>
  <c r="U71" i="1"/>
  <c r="U72" i="1" a="1"/>
  <c r="U72" i="1"/>
  <c r="U73" i="1" a="1"/>
  <c r="U73" i="1" s="1"/>
  <c r="U74" i="1" a="1"/>
  <c r="U74" i="1" s="1"/>
  <c r="U75" i="1" a="1"/>
  <c r="U75" i="1" s="1"/>
  <c r="U76" i="1" a="1"/>
  <c r="U76" i="1"/>
  <c r="U77" i="1" a="1"/>
  <c r="U77" i="1" s="1"/>
  <c r="U78" i="1" a="1"/>
  <c r="U78" i="1" s="1"/>
  <c r="U79" i="1" a="1"/>
  <c r="U79" i="1"/>
  <c r="U80" i="1" a="1"/>
  <c r="U80" i="1" s="1"/>
  <c r="U81" i="1" a="1"/>
  <c r="U81" i="1" s="1"/>
  <c r="U82" i="1" a="1"/>
  <c r="U82" i="1" s="1"/>
  <c r="U83" i="1" a="1"/>
  <c r="U83" i="1"/>
  <c r="U84" i="1" a="1"/>
  <c r="U84" i="1"/>
  <c r="U85" i="1" a="1"/>
  <c r="U85" i="1" s="1"/>
  <c r="U86" i="1" a="1"/>
  <c r="U86" i="1" s="1"/>
  <c r="U87" i="1" a="1"/>
  <c r="U87" i="1"/>
  <c r="U88" i="1" a="1"/>
  <c r="U88" i="1"/>
  <c r="U89" i="1" a="1"/>
  <c r="U89" i="1" s="1"/>
  <c r="U90" i="1" a="1"/>
  <c r="U90" i="1" s="1"/>
  <c r="U91" i="1" a="1"/>
  <c r="U91" i="1" s="1"/>
  <c r="U92" i="1" a="1"/>
  <c r="U92" i="1"/>
  <c r="U93" i="1" a="1"/>
  <c r="U93" i="1" s="1"/>
  <c r="U94" i="1" a="1"/>
  <c r="U94" i="1" s="1"/>
  <c r="U95" i="1" a="1"/>
  <c r="U95" i="1"/>
  <c r="U96" i="1" a="1"/>
  <c r="U96" i="1" s="1"/>
  <c r="U97" i="1" a="1"/>
  <c r="U97" i="1" s="1"/>
  <c r="U98" i="1" a="1"/>
  <c r="U98" i="1" s="1"/>
  <c r="U99" i="1" a="1"/>
  <c r="U99" i="1"/>
  <c r="U100" i="1" a="1"/>
  <c r="U100" i="1"/>
  <c r="U101" i="1" a="1"/>
  <c r="U101" i="1" s="1"/>
  <c r="U102" i="1" a="1"/>
  <c r="U102" i="1" s="1"/>
  <c r="U103" i="1" a="1"/>
  <c r="U103" i="1"/>
  <c r="U104" i="1" a="1"/>
  <c r="U104" i="1"/>
  <c r="U105" i="1" a="1"/>
  <c r="U105" i="1" s="1"/>
  <c r="U106" i="1" a="1"/>
  <c r="U106" i="1" s="1"/>
  <c r="U107" i="1" a="1"/>
  <c r="U107" i="1" s="1"/>
  <c r="U108" i="1" a="1"/>
  <c r="U108" i="1"/>
  <c r="U109" i="1" a="1"/>
  <c r="U109" i="1" s="1"/>
  <c r="U110" i="1" a="1"/>
  <c r="U110" i="1" s="1"/>
  <c r="U111" i="1" a="1"/>
  <c r="U111" i="1"/>
  <c r="U112" i="1" a="1"/>
  <c r="U112" i="1" s="1"/>
  <c r="U113" i="1" a="1"/>
  <c r="U113" i="1" s="1"/>
  <c r="U114" i="1" a="1"/>
  <c r="U114" i="1" s="1"/>
  <c r="U115" i="1" a="1"/>
  <c r="U115" i="1"/>
  <c r="U116" i="1" a="1"/>
  <c r="U116" i="1"/>
  <c r="U117" i="1" a="1"/>
  <c r="U117" i="1" s="1"/>
  <c r="U118" i="1" a="1"/>
  <c r="U118" i="1" s="1"/>
  <c r="U119" i="1" a="1"/>
  <c r="U119" i="1"/>
  <c r="U120" i="1" a="1"/>
  <c r="U120" i="1"/>
  <c r="U121" i="1" a="1"/>
  <c r="U121" i="1" s="1"/>
  <c r="U122" i="1" a="1"/>
  <c r="U122" i="1" s="1"/>
  <c r="U123" i="1" a="1"/>
  <c r="U123" i="1" s="1"/>
  <c r="U124" i="1" a="1"/>
  <c r="U124" i="1"/>
  <c r="U125" i="1" a="1"/>
  <c r="U125" i="1" s="1"/>
  <c r="U126" i="1" a="1"/>
  <c r="U126" i="1" s="1"/>
  <c r="U127" i="1" a="1"/>
  <c r="U127" i="1"/>
  <c r="U128" i="1" a="1"/>
  <c r="U128" i="1" s="1"/>
  <c r="U129" i="1" a="1"/>
  <c r="U129" i="1" s="1"/>
  <c r="U130" i="1" a="1"/>
  <c r="U130" i="1" s="1"/>
  <c r="U131" i="1" a="1"/>
  <c r="U131" i="1"/>
  <c r="U132" i="1" a="1"/>
  <c r="U132" i="1"/>
  <c r="U133" i="1" a="1"/>
  <c r="U133" i="1" s="1"/>
  <c r="U134" i="1" a="1"/>
  <c r="U134" i="1" s="1"/>
  <c r="U135" i="1" a="1"/>
  <c r="U135" i="1"/>
  <c r="U136" i="1" a="1"/>
  <c r="U136" i="1"/>
  <c r="U137" i="1" a="1"/>
  <c r="U137" i="1" s="1"/>
  <c r="U138" i="1" a="1"/>
  <c r="U138" i="1" s="1"/>
  <c r="U139" i="1" a="1"/>
  <c r="U139" i="1" s="1"/>
  <c r="U140" i="1" a="1"/>
  <c r="U140" i="1"/>
  <c r="U141" i="1" a="1"/>
  <c r="U141" i="1" s="1"/>
  <c r="U142" i="1" a="1"/>
  <c r="U142" i="1" s="1"/>
  <c r="U143" i="1" a="1"/>
  <c r="U143" i="1"/>
  <c r="U144" i="1" a="1"/>
  <c r="U144" i="1" s="1"/>
  <c r="U145" i="1" a="1"/>
  <c r="U145" i="1" s="1"/>
  <c r="U146" i="1" a="1"/>
  <c r="U146" i="1" s="1"/>
  <c r="U147" i="1" a="1"/>
  <c r="U147" i="1"/>
  <c r="U148" i="1" a="1"/>
  <c r="U148" i="1"/>
  <c r="U149" i="1" a="1"/>
  <c r="U149" i="1" s="1"/>
  <c r="U150" i="1" a="1"/>
  <c r="U150" i="1" s="1"/>
  <c r="U151" i="1" a="1"/>
  <c r="U151" i="1"/>
  <c r="U152" i="1" a="1"/>
  <c r="U152" i="1"/>
  <c r="U153" i="1" a="1"/>
  <c r="U153" i="1" s="1"/>
  <c r="U154" i="1" a="1"/>
  <c r="U154" i="1" s="1"/>
  <c r="U155" i="1" a="1"/>
  <c r="U155" i="1" s="1"/>
  <c r="U156" i="1" a="1"/>
  <c r="U156" i="1"/>
  <c r="U157" i="1" a="1"/>
  <c r="U157" i="1" s="1"/>
  <c r="U158" i="1" a="1"/>
  <c r="U158" i="1" s="1"/>
  <c r="U159" i="1" a="1"/>
  <c r="U159" i="1"/>
  <c r="U160" i="1" a="1"/>
  <c r="U160" i="1" s="1"/>
  <c r="U161" i="1" a="1"/>
  <c r="U161" i="1" s="1"/>
  <c r="U162" i="1" a="1"/>
  <c r="U162" i="1" s="1"/>
  <c r="U163" i="1" a="1"/>
  <c r="U163" i="1"/>
  <c r="U164" i="1" a="1"/>
  <c r="U164" i="1"/>
  <c r="U165" i="1" a="1"/>
  <c r="U165" i="1" s="1"/>
  <c r="U166" i="1" a="1"/>
  <c r="U166" i="1" s="1"/>
  <c r="U167" i="1" a="1"/>
  <c r="U167" i="1"/>
  <c r="U168" i="1" a="1"/>
  <c r="U168" i="1"/>
  <c r="U169" i="1" a="1"/>
  <c r="U169" i="1" s="1"/>
  <c r="U170" i="1" a="1"/>
  <c r="U170" i="1" s="1"/>
  <c r="U171" i="1" a="1"/>
  <c r="U171" i="1" s="1"/>
  <c r="U172" i="1" a="1"/>
  <c r="U172" i="1"/>
  <c r="U173" i="1" a="1"/>
  <c r="U173" i="1" s="1"/>
  <c r="U174" i="1" a="1"/>
  <c r="U174" i="1" s="1"/>
  <c r="U175" i="1" a="1"/>
  <c r="U175" i="1"/>
  <c r="U176" i="1" a="1"/>
  <c r="U176" i="1" s="1"/>
  <c r="U177" i="1" a="1"/>
  <c r="U177" i="1" s="1"/>
  <c r="U178" i="1" a="1"/>
  <c r="U178" i="1" s="1"/>
  <c r="U179" i="1" a="1"/>
  <c r="U179" i="1"/>
  <c r="U180" i="1" a="1"/>
  <c r="U180" i="1"/>
  <c r="U181" i="1" a="1"/>
  <c r="U181" i="1" s="1"/>
  <c r="U182" i="1" a="1"/>
  <c r="U182" i="1" s="1"/>
  <c r="U183" i="1" a="1"/>
  <c r="U183" i="1"/>
  <c r="U184" i="1" a="1"/>
  <c r="U184" i="1"/>
  <c r="U185" i="1" a="1"/>
  <c r="U185" i="1" s="1"/>
  <c r="U186" i="1" a="1"/>
  <c r="U186" i="1" s="1"/>
  <c r="U187" i="1" a="1"/>
  <c r="U187" i="1" s="1"/>
  <c r="U188" i="1" a="1"/>
  <c r="U188" i="1"/>
  <c r="U189" i="1" a="1"/>
  <c r="U189" i="1" s="1"/>
  <c r="U190" i="1" a="1"/>
  <c r="U190" i="1" s="1"/>
  <c r="U191" i="1" a="1"/>
  <c r="U191" i="1"/>
  <c r="U192" i="1" a="1"/>
  <c r="U192" i="1" s="1"/>
  <c r="U193" i="1" a="1"/>
  <c r="U193" i="1" s="1"/>
  <c r="U194" i="1" a="1"/>
  <c r="U194" i="1" s="1"/>
  <c r="U195" i="1" a="1"/>
  <c r="U195" i="1"/>
  <c r="U196" i="1" a="1"/>
  <c r="U196" i="1"/>
  <c r="U197" i="1" a="1"/>
  <c r="U197" i="1" s="1"/>
  <c r="U198" i="1" a="1"/>
  <c r="U198" i="1" s="1"/>
  <c r="U199" i="1" a="1"/>
  <c r="U199" i="1"/>
  <c r="U200" i="1" a="1"/>
  <c r="U200" i="1"/>
  <c r="U201" i="1" a="1"/>
  <c r="U201" i="1" s="1"/>
  <c r="U202" i="1" a="1"/>
  <c r="U202" i="1" s="1"/>
  <c r="U203" i="1" a="1"/>
  <c r="U203" i="1" s="1"/>
  <c r="U204" i="1" a="1"/>
  <c r="U204" i="1"/>
  <c r="U205" i="1" a="1"/>
  <c r="U205" i="1" s="1"/>
  <c r="U206" i="1" a="1"/>
  <c r="U206" i="1" s="1"/>
  <c r="U207" i="1" a="1"/>
  <c r="U207" i="1"/>
  <c r="U208" i="1" a="1"/>
  <c r="U208" i="1" s="1"/>
  <c r="U209" i="1" a="1"/>
  <c r="U209" i="1" s="1"/>
  <c r="U210" i="1" a="1"/>
  <c r="U210" i="1" s="1"/>
  <c r="U211" i="1" a="1"/>
  <c r="U211" i="1"/>
  <c r="U212" i="1" a="1"/>
  <c r="U212" i="1"/>
  <c r="U213" i="1" a="1"/>
  <c r="U213" i="1" s="1"/>
  <c r="U214" i="1" a="1"/>
  <c r="U214" i="1" s="1"/>
  <c r="U215" i="1" a="1"/>
  <c r="U215" i="1"/>
  <c r="U216" i="1" a="1"/>
  <c r="U216" i="1"/>
  <c r="U217" i="1" a="1"/>
  <c r="U217" i="1" s="1"/>
  <c r="U218" i="1" a="1"/>
  <c r="U218" i="1" s="1"/>
  <c r="U219" i="1" a="1"/>
  <c r="U219" i="1" s="1"/>
  <c r="U220" i="1" a="1"/>
  <c r="U220" i="1"/>
  <c r="U221" i="1" a="1"/>
  <c r="U221" i="1" s="1"/>
  <c r="U222" i="1" a="1"/>
  <c r="U222" i="1" s="1"/>
  <c r="U223" i="1" a="1"/>
  <c r="U223" i="1"/>
  <c r="U224" i="1" a="1"/>
  <c r="U224" i="1" s="1"/>
  <c r="U225" i="1" a="1"/>
  <c r="U225" i="1" s="1"/>
  <c r="U226" i="1" a="1"/>
  <c r="U226" i="1" s="1"/>
  <c r="U227" i="1" a="1"/>
  <c r="U227" i="1"/>
  <c r="U228" i="1" a="1"/>
  <c r="U228" i="1"/>
  <c r="U229" i="1" a="1"/>
  <c r="U229" i="1" s="1"/>
  <c r="U230" i="1" a="1"/>
  <c r="U230" i="1" s="1"/>
  <c r="U231" i="1" a="1"/>
  <c r="U231" i="1"/>
  <c r="U232" i="1" a="1"/>
  <c r="U232" i="1"/>
  <c r="U233" i="1" a="1"/>
  <c r="U233" i="1" s="1"/>
  <c r="U234" i="1" a="1"/>
  <c r="U234" i="1" s="1"/>
  <c r="U235" i="1" a="1"/>
  <c r="U235" i="1" s="1"/>
  <c r="U236" i="1" a="1"/>
  <c r="U236" i="1"/>
  <c r="U237" i="1" a="1"/>
  <c r="U237" i="1" s="1"/>
  <c r="U238" i="1" a="1"/>
  <c r="U238" i="1" s="1"/>
  <c r="U239" i="1" a="1"/>
  <c r="U239" i="1"/>
  <c r="U240" i="1" a="1"/>
  <c r="U240" i="1" s="1"/>
  <c r="U241" i="1" a="1"/>
  <c r="U241" i="1" s="1"/>
  <c r="U242" i="1" a="1"/>
  <c r="U242" i="1" s="1"/>
  <c r="U243" i="1" a="1"/>
  <c r="U243" i="1"/>
  <c r="U244" i="1" a="1"/>
  <c r="U244" i="1"/>
  <c r="U245" i="1" a="1"/>
  <c r="U245" i="1" s="1"/>
  <c r="U246" i="1" a="1"/>
  <c r="U246" i="1" s="1"/>
  <c r="U247" i="1" a="1"/>
  <c r="U247" i="1"/>
  <c r="U248" i="1" a="1"/>
  <c r="U248" i="1"/>
  <c r="U249" i="1" a="1"/>
  <c r="U249" i="1" s="1"/>
  <c r="U250" i="1" a="1"/>
  <c r="U250" i="1" s="1"/>
  <c r="U251" i="1" a="1"/>
  <c r="U251" i="1" s="1"/>
  <c r="U252" i="1" a="1"/>
  <c r="U252" i="1"/>
  <c r="U253" i="1" a="1"/>
  <c r="U253" i="1" s="1"/>
  <c r="U254" i="1" a="1"/>
  <c r="U254" i="1" s="1"/>
  <c r="U255" i="1" a="1"/>
  <c r="U255" i="1"/>
  <c r="U256" i="1" a="1"/>
  <c r="U256" i="1" s="1"/>
  <c r="U257" i="1" a="1"/>
  <c r="U257" i="1" s="1"/>
  <c r="U258" i="1" a="1"/>
  <c r="U258" i="1" s="1"/>
  <c r="U259" i="1" a="1"/>
  <c r="U259" i="1"/>
  <c r="U260" i="1" a="1"/>
  <c r="U260" i="1"/>
  <c r="U261" i="1" a="1"/>
  <c r="U261" i="1" s="1"/>
  <c r="U262" i="1" a="1"/>
  <c r="U262" i="1" s="1"/>
  <c r="U263" i="1" a="1"/>
  <c r="U263" i="1"/>
  <c r="U264" i="1" a="1"/>
  <c r="U264" i="1"/>
  <c r="U265" i="1" a="1"/>
  <c r="U265" i="1" s="1"/>
  <c r="U266" i="1" a="1"/>
  <c r="U266" i="1" s="1"/>
  <c r="U267" i="1" a="1"/>
  <c r="U267" i="1" s="1"/>
  <c r="U268" i="1" a="1"/>
  <c r="U268" i="1"/>
  <c r="U269" i="1" a="1"/>
  <c r="U269" i="1" s="1"/>
  <c r="U270" i="1" a="1"/>
  <c r="U270" i="1" s="1"/>
  <c r="U271" i="1" a="1"/>
  <c r="U271" i="1"/>
  <c r="U272" i="1" a="1"/>
  <c r="U272" i="1" s="1"/>
  <c r="U273" i="1" a="1"/>
  <c r="U273" i="1" s="1"/>
  <c r="U274" i="1" a="1"/>
  <c r="U274" i="1" s="1"/>
  <c r="U275" i="1" a="1"/>
  <c r="U275" i="1"/>
  <c r="U276" i="1" a="1"/>
  <c r="U276" i="1"/>
  <c r="U277" i="1" a="1"/>
  <c r="U277" i="1" s="1"/>
  <c r="U278" i="1" a="1"/>
  <c r="U278" i="1" s="1"/>
  <c r="U279" i="1" a="1"/>
  <c r="U279" i="1"/>
  <c r="U280" i="1" a="1"/>
  <c r="U280" i="1"/>
  <c r="U281" i="1" a="1"/>
  <c r="U281" i="1" s="1"/>
  <c r="U282" i="1" a="1"/>
  <c r="U282" i="1" s="1"/>
  <c r="U283" i="1" a="1"/>
  <c r="U283" i="1" s="1"/>
  <c r="U284" i="1" a="1"/>
  <c r="U284" i="1"/>
  <c r="U285" i="1" a="1"/>
  <c r="U285" i="1" s="1"/>
  <c r="U286" i="1" a="1"/>
  <c r="U286" i="1" s="1"/>
  <c r="U287" i="1" a="1"/>
  <c r="U287" i="1"/>
  <c r="U288" i="1" a="1"/>
  <c r="U288" i="1" s="1"/>
  <c r="U289" i="1" a="1"/>
  <c r="U289" i="1" s="1"/>
  <c r="U290" i="1" a="1"/>
  <c r="U290" i="1" s="1"/>
  <c r="U291" i="1" a="1"/>
  <c r="U291" i="1"/>
  <c r="U292" i="1" a="1"/>
  <c r="U292" i="1"/>
  <c r="U293" i="1" a="1"/>
  <c r="U293" i="1" s="1"/>
  <c r="U294" i="1" a="1"/>
  <c r="U294" i="1" s="1"/>
  <c r="U295" i="1" a="1"/>
  <c r="U295" i="1"/>
  <c r="U296" i="1" a="1"/>
  <c r="U296" i="1"/>
  <c r="U297" i="1" a="1"/>
  <c r="U297" i="1" s="1"/>
  <c r="U298" i="1" a="1"/>
  <c r="U298" i="1" s="1"/>
  <c r="U299" i="1" a="1"/>
  <c r="U299" i="1" s="1"/>
  <c r="U300" i="1" a="1"/>
  <c r="U300" i="1"/>
  <c r="U301" i="1" a="1"/>
  <c r="U301" i="1" s="1"/>
  <c r="U302" i="1" a="1"/>
  <c r="U302" i="1" s="1"/>
  <c r="U303" i="1" a="1"/>
  <c r="U303" i="1"/>
  <c r="U304" i="1" a="1"/>
  <c r="U304" i="1" s="1"/>
  <c r="U305" i="1" a="1"/>
  <c r="U305" i="1" s="1"/>
  <c r="U306" i="1" a="1"/>
  <c r="U306" i="1" s="1"/>
  <c r="U307" i="1" a="1"/>
  <c r="U307" i="1"/>
  <c r="U308" i="1" a="1"/>
  <c r="U308" i="1"/>
  <c r="U309" i="1" a="1"/>
  <c r="U309" i="1" s="1"/>
  <c r="U310" i="1" a="1"/>
  <c r="U310" i="1" s="1"/>
  <c r="U311" i="1" a="1"/>
  <c r="U311" i="1"/>
  <c r="U312" i="1" a="1"/>
  <c r="U312" i="1"/>
  <c r="U313" i="1" a="1"/>
  <c r="U313" i="1" s="1"/>
  <c r="U314" i="1" a="1"/>
  <c r="U314" i="1" s="1"/>
  <c r="U315" i="1" a="1"/>
  <c r="U315" i="1" s="1"/>
  <c r="U316" i="1" a="1"/>
  <c r="U316" i="1"/>
  <c r="U317" i="1" a="1"/>
  <c r="U317" i="1" s="1"/>
  <c r="U318" i="1" a="1"/>
  <c r="U318" i="1" s="1"/>
  <c r="U319" i="1" a="1"/>
  <c r="U319" i="1"/>
  <c r="U320" i="1" a="1"/>
  <c r="U320" i="1" s="1"/>
  <c r="U321" i="1" a="1"/>
  <c r="U321" i="1" s="1"/>
  <c r="U322" i="1" a="1"/>
  <c r="U322" i="1" s="1"/>
  <c r="U323" i="1" a="1"/>
  <c r="U323" i="1"/>
  <c r="U324" i="1" a="1"/>
  <c r="U324" i="1"/>
  <c r="U325" i="1" a="1"/>
  <c r="U325" i="1" s="1"/>
  <c r="U326" i="1" a="1"/>
  <c r="U326" i="1" s="1"/>
  <c r="U327" i="1" a="1"/>
  <c r="U327" i="1"/>
  <c r="U328" i="1" a="1"/>
  <c r="U328" i="1"/>
  <c r="U329" i="1" a="1"/>
  <c r="U329" i="1" s="1"/>
  <c r="U330" i="1" a="1"/>
  <c r="U330" i="1" s="1"/>
  <c r="U331" i="1" a="1"/>
  <c r="U331" i="1" s="1"/>
  <c r="U332" i="1" a="1"/>
  <c r="U332" i="1"/>
  <c r="U333" i="1" a="1"/>
  <c r="U333" i="1" s="1"/>
  <c r="U334" i="1" a="1"/>
  <c r="U334" i="1" s="1"/>
  <c r="U335" i="1" a="1"/>
  <c r="U335" i="1"/>
  <c r="U336" i="1" a="1"/>
  <c r="U336" i="1" s="1"/>
  <c r="U337" i="1" a="1"/>
  <c r="U337" i="1" s="1"/>
  <c r="U338" i="1" a="1"/>
  <c r="U338" i="1" s="1"/>
  <c r="U339" i="1" a="1"/>
  <c r="U339" i="1"/>
  <c r="U340" i="1" a="1"/>
  <c r="U340" i="1"/>
  <c r="U341" i="1" a="1"/>
  <c r="U341" i="1" s="1"/>
  <c r="U342" i="1" a="1"/>
  <c r="U342" i="1" s="1"/>
  <c r="U343" i="1" a="1"/>
  <c r="U343" i="1"/>
  <c r="U344" i="1" a="1"/>
  <c r="U344" i="1"/>
  <c r="U345" i="1" a="1"/>
  <c r="U345" i="1"/>
  <c r="U346" i="1" a="1"/>
  <c r="U346" i="1" s="1"/>
  <c r="U347" i="1" a="1"/>
  <c r="U347" i="1"/>
  <c r="U348" i="1" a="1"/>
  <c r="U348" i="1"/>
  <c r="U349" i="1" a="1"/>
  <c r="U349" i="1"/>
  <c r="U350" i="1" a="1"/>
  <c r="U350" i="1" s="1"/>
  <c r="U351" i="1" a="1"/>
  <c r="U351" i="1"/>
  <c r="U352" i="1" a="1"/>
  <c r="U352" i="1"/>
  <c r="U353" i="1" a="1"/>
  <c r="U353" i="1"/>
  <c r="U354" i="1" a="1"/>
  <c r="U354" i="1" s="1"/>
  <c r="U355" i="1" a="1"/>
  <c r="U355" i="1"/>
  <c r="U356" i="1" a="1"/>
  <c r="U356" i="1"/>
  <c r="U357" i="1" a="1"/>
  <c r="U357" i="1"/>
  <c r="U358" i="1" a="1"/>
  <c r="U358" i="1" s="1"/>
  <c r="U359" i="1" a="1"/>
  <c r="U359" i="1"/>
  <c r="U360" i="1" a="1"/>
  <c r="U360" i="1"/>
  <c r="U361" i="1" a="1"/>
  <c r="U361" i="1"/>
  <c r="U362" i="1" a="1"/>
  <c r="U362" i="1" s="1"/>
  <c r="U363" i="1" a="1"/>
  <c r="U363" i="1"/>
  <c r="U364" i="1" a="1"/>
  <c r="U364" i="1"/>
  <c r="U365" i="1" a="1"/>
  <c r="U365" i="1"/>
  <c r="U366" i="1" a="1"/>
  <c r="U366" i="1" s="1"/>
  <c r="U367" i="1" a="1"/>
  <c r="U367" i="1"/>
  <c r="U368" i="1" a="1"/>
  <c r="U368" i="1"/>
  <c r="U369" i="1" a="1"/>
  <c r="U369" i="1"/>
  <c r="U370" i="1" a="1"/>
  <c r="U370" i="1" s="1"/>
  <c r="U371" i="1" a="1"/>
  <c r="U371" i="1"/>
  <c r="U372" i="1" a="1"/>
  <c r="U372" i="1"/>
  <c r="U373" i="1" a="1"/>
  <c r="U373" i="1"/>
  <c r="U374" i="1" a="1"/>
  <c r="U374" i="1" s="1"/>
  <c r="U375" i="1" a="1"/>
  <c r="U375" i="1"/>
  <c r="U376" i="1" a="1"/>
  <c r="U376" i="1"/>
  <c r="U377" i="1" a="1"/>
  <c r="U377" i="1"/>
  <c r="U378" i="1" a="1"/>
  <c r="U378" i="1" s="1"/>
  <c r="U379" i="1" a="1"/>
  <c r="U379" i="1"/>
  <c r="U380" i="1" a="1"/>
  <c r="U380" i="1"/>
  <c r="U381" i="1" a="1"/>
  <c r="U381" i="1"/>
  <c r="U382" i="1" a="1"/>
  <c r="U382" i="1" s="1"/>
  <c r="U383" i="1" a="1"/>
  <c r="U383" i="1"/>
  <c r="U384" i="1" a="1"/>
  <c r="U384" i="1"/>
  <c r="U385" i="1" a="1"/>
  <c r="U385" i="1"/>
  <c r="U386" i="1" a="1"/>
  <c r="U386" i="1" s="1"/>
  <c r="U387" i="1" a="1"/>
  <c r="U387" i="1"/>
  <c r="U388" i="1" a="1"/>
  <c r="U388" i="1"/>
  <c r="U389" i="1" a="1"/>
  <c r="U389" i="1"/>
  <c r="U390" i="1" a="1"/>
  <c r="U390" i="1" s="1"/>
  <c r="U391" i="1" a="1"/>
  <c r="U391" i="1"/>
  <c r="U392" i="1" a="1"/>
  <c r="U392" i="1"/>
  <c r="U393" i="1" a="1"/>
  <c r="U393" i="1"/>
  <c r="U394" i="1" a="1"/>
  <c r="U394" i="1" s="1"/>
  <c r="U395" i="1" a="1"/>
  <c r="U395" i="1"/>
  <c r="U396" i="1" a="1"/>
  <c r="U396" i="1"/>
  <c r="U397" i="1" a="1"/>
  <c r="U397" i="1"/>
  <c r="U398" i="1" a="1"/>
  <c r="U398" i="1" s="1"/>
  <c r="U399" i="1" a="1"/>
  <c r="U399" i="1"/>
  <c r="U400" i="1" a="1"/>
  <c r="U400" i="1"/>
  <c r="U401" i="1" a="1"/>
  <c r="U401" i="1"/>
  <c r="U402" i="1" a="1"/>
  <c r="U402" i="1" s="1"/>
  <c r="U403" i="1" a="1"/>
  <c r="U403" i="1"/>
  <c r="U404" i="1" a="1"/>
  <c r="U404" i="1"/>
  <c r="U405" i="1" a="1"/>
  <c r="U405" i="1"/>
  <c r="U406" i="1" a="1"/>
  <c r="U406" i="1" s="1"/>
  <c r="U407" i="1" a="1"/>
  <c r="U407" i="1"/>
  <c r="U408" i="1" a="1"/>
  <c r="U408" i="1"/>
  <c r="U409" i="1" a="1"/>
  <c r="U409" i="1"/>
  <c r="U410" i="1" a="1"/>
  <c r="U410" i="1" s="1"/>
  <c r="U411" i="1" a="1"/>
  <c r="U411" i="1"/>
  <c r="U412" i="1" a="1"/>
  <c r="U412" i="1"/>
  <c r="U413" i="1" a="1"/>
  <c r="U413" i="1"/>
  <c r="U414" i="1" a="1"/>
  <c r="U414" i="1" s="1"/>
  <c r="U415" i="1" a="1"/>
  <c r="U415" i="1"/>
  <c r="U416" i="1" a="1"/>
  <c r="U416" i="1"/>
  <c r="U417" i="1" a="1"/>
  <c r="U417" i="1"/>
  <c r="U418" i="1" a="1"/>
  <c r="U418" i="1" s="1"/>
  <c r="U419" i="1" a="1"/>
  <c r="U419" i="1"/>
  <c r="U420" i="1" a="1"/>
  <c r="U420" i="1"/>
  <c r="U421" i="1" a="1"/>
  <c r="U421" i="1"/>
  <c r="U422" i="1" a="1"/>
  <c r="U422" i="1" s="1"/>
  <c r="U423" i="1" a="1"/>
  <c r="U423" i="1"/>
  <c r="U424" i="1" a="1"/>
  <c r="U424" i="1"/>
  <c r="U425" i="1" a="1"/>
  <c r="U425" i="1"/>
  <c r="U426" i="1" a="1"/>
  <c r="U426" i="1" s="1"/>
  <c r="U427" i="1" a="1"/>
  <c r="U427" i="1"/>
  <c r="U428" i="1" a="1"/>
  <c r="U428" i="1"/>
  <c r="U429" i="1" a="1"/>
  <c r="U429" i="1"/>
  <c r="U430" i="1" a="1"/>
  <c r="U430" i="1" s="1"/>
  <c r="U431" i="1" a="1"/>
  <c r="U431" i="1"/>
  <c r="U432" i="1" a="1"/>
  <c r="U432" i="1"/>
  <c r="U433" i="1" a="1"/>
  <c r="U433" i="1"/>
  <c r="U434" i="1" a="1"/>
  <c r="U434" i="1" s="1"/>
  <c r="U435" i="1" a="1"/>
  <c r="U435" i="1"/>
  <c r="U436" i="1" a="1"/>
  <c r="U436" i="1"/>
  <c r="U437" i="1" a="1"/>
  <c r="U437" i="1"/>
  <c r="U438" i="1" a="1"/>
  <c r="U438" i="1" s="1"/>
  <c r="U439" i="1" a="1"/>
  <c r="U439" i="1"/>
  <c r="U440" i="1" a="1"/>
  <c r="U440" i="1"/>
  <c r="U441" i="1" a="1"/>
  <c r="U441" i="1"/>
  <c r="U442" i="1" a="1"/>
  <c r="U442" i="1" s="1"/>
  <c r="U443" i="1" a="1"/>
  <c r="U443" i="1"/>
  <c r="U444" i="1" a="1"/>
  <c r="U444" i="1"/>
  <c r="U445" i="1" a="1"/>
  <c r="U445" i="1"/>
  <c r="U446" i="1" a="1"/>
  <c r="U446" i="1" s="1"/>
  <c r="U447" i="1" a="1"/>
  <c r="U447" i="1"/>
  <c r="U448" i="1" a="1"/>
  <c r="U448" i="1"/>
  <c r="U449" i="1" a="1"/>
  <c r="U449" i="1"/>
  <c r="U450" i="1" a="1"/>
  <c r="U450" i="1" s="1"/>
  <c r="U451" i="1" a="1"/>
  <c r="U451" i="1"/>
  <c r="U452" i="1" a="1"/>
  <c r="U452" i="1"/>
  <c r="U453" i="1" a="1"/>
  <c r="U453" i="1"/>
  <c r="U454" i="1" a="1"/>
  <c r="U454" i="1" s="1"/>
  <c r="U455" i="1" a="1"/>
  <c r="U455" i="1"/>
  <c r="U456" i="1" a="1"/>
  <c r="U456" i="1"/>
  <c r="U457" i="1" a="1"/>
  <c r="U457" i="1"/>
  <c r="U458" i="1" a="1"/>
  <c r="U458" i="1" s="1"/>
  <c r="U459" i="1" a="1"/>
  <c r="U459" i="1"/>
  <c r="U460" i="1" a="1"/>
  <c r="U460" i="1"/>
  <c r="U461" i="1" a="1"/>
  <c r="U461" i="1"/>
  <c r="U462" i="1" a="1"/>
  <c r="U462" i="1" s="1"/>
  <c r="U463" i="1" a="1"/>
  <c r="U463" i="1"/>
  <c r="U464" i="1" a="1"/>
  <c r="U464" i="1"/>
  <c r="U465" i="1" a="1"/>
  <c r="U465" i="1"/>
  <c r="U466" i="1" a="1"/>
  <c r="U466" i="1" s="1"/>
  <c r="U467" i="1" a="1"/>
  <c r="U467" i="1"/>
  <c r="U468" i="1" a="1"/>
  <c r="U468" i="1"/>
  <c r="U469" i="1" a="1"/>
  <c r="U469" i="1"/>
  <c r="U470" i="1" a="1"/>
  <c r="U470" i="1" s="1"/>
  <c r="U471" i="1" a="1"/>
  <c r="U471" i="1"/>
  <c r="U472" i="1" a="1"/>
  <c r="U472" i="1"/>
  <c r="U473" i="1" a="1"/>
  <c r="U473" i="1"/>
  <c r="U474" i="1" a="1"/>
  <c r="U474" i="1" s="1"/>
  <c r="U475" i="1" a="1"/>
  <c r="U475" i="1"/>
  <c r="U476" i="1" a="1"/>
  <c r="U476" i="1"/>
  <c r="U477" i="1" a="1"/>
  <c r="U477" i="1"/>
  <c r="U478" i="1" a="1"/>
  <c r="U478" i="1" s="1"/>
  <c r="U479" i="1" a="1"/>
  <c r="U479" i="1"/>
  <c r="U480" i="1" a="1"/>
  <c r="U480" i="1"/>
  <c r="U481" i="1" a="1"/>
  <c r="U481" i="1"/>
  <c r="U482" i="1" a="1"/>
  <c r="U482" i="1" s="1"/>
  <c r="U483" i="1" a="1"/>
  <c r="U483" i="1"/>
  <c r="U484" i="1" a="1"/>
  <c r="U484" i="1"/>
  <c r="U485" i="1" a="1"/>
  <c r="U485" i="1"/>
  <c r="U486" i="1" a="1"/>
  <c r="U486" i="1" s="1"/>
  <c r="U487" i="1" a="1"/>
  <c r="U487" i="1"/>
  <c r="U488" i="1" a="1"/>
  <c r="U488" i="1"/>
  <c r="U489" i="1" a="1"/>
  <c r="U489" i="1"/>
  <c r="U490" i="1" a="1"/>
  <c r="U490" i="1" s="1"/>
  <c r="U491" i="1" a="1"/>
  <c r="U491" i="1"/>
  <c r="U492" i="1" a="1"/>
  <c r="U492" i="1"/>
  <c r="U493" i="1" a="1"/>
  <c r="U493" i="1"/>
  <c r="U494" i="1" a="1"/>
  <c r="U494" i="1" s="1"/>
  <c r="U495" i="1" a="1"/>
  <c r="U495" i="1"/>
  <c r="U496" i="1" a="1"/>
  <c r="U496" i="1"/>
  <c r="U497" i="1" a="1"/>
  <c r="U497" i="1"/>
  <c r="U498" i="1" a="1"/>
  <c r="U498" i="1" s="1"/>
  <c r="U499" i="1" a="1"/>
  <c r="U499" i="1"/>
  <c r="U500" i="1" a="1"/>
  <c r="U500" i="1"/>
  <c r="U501" i="1" a="1"/>
  <c r="U501" i="1"/>
  <c r="U2" i="1" a="1"/>
  <c r="U2" i="1" s="1"/>
  <c r="AB3" i="1"/>
  <c r="AD6" i="2"/>
  <c r="V6" i="2"/>
  <c r="AA6" i="2"/>
  <c r="Y6" i="2"/>
  <c r="T6" i="2"/>
  <c r="R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<sst xmlns="http://schemas.openxmlformats.org/spreadsheetml/2006/main" count="5112" uniqueCount="199">
  <si>
    <t>Order_ID</t>
  </si>
  <si>
    <t>Order_Date</t>
  </si>
  <si>
    <t>Customer_Name</t>
  </si>
  <si>
    <t>Region</t>
  </si>
  <si>
    <t>City</t>
  </si>
  <si>
    <t>Product_Category</t>
  </si>
  <si>
    <t>Product_Name</t>
  </si>
  <si>
    <t>Sales_Rep</t>
  </si>
  <si>
    <t>Quantity</t>
  </si>
  <si>
    <t>Unit_Price</t>
  </si>
  <si>
    <t>Discount</t>
  </si>
  <si>
    <t>Tax</t>
  </si>
  <si>
    <t>Shipping_Cost</t>
  </si>
  <si>
    <t>Total_Sales</t>
  </si>
  <si>
    <t>Payment_Method</t>
  </si>
  <si>
    <t>Profit</t>
  </si>
  <si>
    <t>Customer_Segment</t>
  </si>
  <si>
    <t>Order_Status</t>
  </si>
  <si>
    <t>Delivery_Time_Days</t>
  </si>
  <si>
    <t>Rating</t>
  </si>
  <si>
    <t>2024-03-25</t>
  </si>
  <si>
    <t>Ravi</t>
  </si>
  <si>
    <t>North</t>
  </si>
  <si>
    <t>Bangalore</t>
  </si>
  <si>
    <t>Furniture</t>
  </si>
  <si>
    <t>Chair</t>
  </si>
  <si>
    <t>Sneha</t>
  </si>
  <si>
    <t>Credit Card</t>
  </si>
  <si>
    <t>Consumer</t>
  </si>
  <si>
    <t>Delivered</t>
  </si>
  <si>
    <t>2024-03-07</t>
  </si>
  <si>
    <t>Divya</t>
  </si>
  <si>
    <t>South</t>
  </si>
  <si>
    <t>Mumbai</t>
  </si>
  <si>
    <t>Electronics</t>
  </si>
  <si>
    <t>Mobile</t>
  </si>
  <si>
    <t>Kiran</t>
  </si>
  <si>
    <t>Cancelled</t>
  </si>
  <si>
    <t>2024-03-10</t>
  </si>
  <si>
    <t>Arun</t>
  </si>
  <si>
    <t>Ahmedabad</t>
  </si>
  <si>
    <t>Laptop</t>
  </si>
  <si>
    <t>Rahul</t>
  </si>
  <si>
    <t>Debit Card</t>
  </si>
  <si>
    <t>Pending</t>
  </si>
  <si>
    <t>2024-02-08</t>
  </si>
  <si>
    <t>Ramesh</t>
  </si>
  <si>
    <t>Kolkata</t>
  </si>
  <si>
    <t>Clothing</t>
  </si>
  <si>
    <t>T-Shirt</t>
  </si>
  <si>
    <t>UPI</t>
  </si>
  <si>
    <t>2024-03-16</t>
  </si>
  <si>
    <t>Corporate</t>
  </si>
  <si>
    <t>2024-01-14</t>
  </si>
  <si>
    <t>Pune</t>
  </si>
  <si>
    <t>2024-02-11</t>
  </si>
  <si>
    <t>Chennai</t>
  </si>
  <si>
    <t>2024-01-16</t>
  </si>
  <si>
    <t>Priya</t>
  </si>
  <si>
    <t>West</t>
  </si>
  <si>
    <t>Tablet</t>
  </si>
  <si>
    <t>Amit</t>
  </si>
  <si>
    <t>Cash</t>
  </si>
  <si>
    <t>Home Office</t>
  </si>
  <si>
    <t>2024-01-23</t>
  </si>
  <si>
    <t>John</t>
  </si>
  <si>
    <t>Jacket</t>
  </si>
  <si>
    <t>2024-04-18</t>
  </si>
  <si>
    <t>Anjali</t>
  </si>
  <si>
    <t>Table</t>
  </si>
  <si>
    <t>2024-01-29</t>
  </si>
  <si>
    <t>2024-03-14</t>
  </si>
  <si>
    <t>Sara</t>
  </si>
  <si>
    <t>East</t>
  </si>
  <si>
    <t>2024-03-27</t>
  </si>
  <si>
    <t>Vikram</t>
  </si>
  <si>
    <t>2024-01-25</t>
  </si>
  <si>
    <t>Jeans</t>
  </si>
  <si>
    <t>2024-03-31</t>
  </si>
  <si>
    <t>Kochi</t>
  </si>
  <si>
    <t>Headphones</t>
  </si>
  <si>
    <t>2024-04-06</t>
  </si>
  <si>
    <t>2024-04-01</t>
  </si>
  <si>
    <t>2024-01-06</t>
  </si>
  <si>
    <t>2024-02-18</t>
  </si>
  <si>
    <t>2024-01-01</t>
  </si>
  <si>
    <t>2024-03-12</t>
  </si>
  <si>
    <t>Meena</t>
  </si>
  <si>
    <t>2024-03-01</t>
  </si>
  <si>
    <t>2024-01-24</t>
  </si>
  <si>
    <t>2024-02-03</t>
  </si>
  <si>
    <t>2024-02-06</t>
  </si>
  <si>
    <t>2024-01-12</t>
  </si>
  <si>
    <t>2024-04-16</t>
  </si>
  <si>
    <t>Sofa</t>
  </si>
  <si>
    <t>2024-04-27</t>
  </si>
  <si>
    <t>2024-04-09</t>
  </si>
  <si>
    <t>2024-04-07</t>
  </si>
  <si>
    <t>2024-03-22</t>
  </si>
  <si>
    <t>2024-03-17</t>
  </si>
  <si>
    <t>2024-02-24</t>
  </si>
  <si>
    <t>2024-02-04</t>
  </si>
  <si>
    <t>2024-03-03</t>
  </si>
  <si>
    <t>Delhi</t>
  </si>
  <si>
    <t>2024-03-23</t>
  </si>
  <si>
    <t>2024-02-29</t>
  </si>
  <si>
    <t>2024-04-05</t>
  </si>
  <si>
    <t>2024-01-10</t>
  </si>
  <si>
    <t>2024-01-17</t>
  </si>
  <si>
    <t>2024-04-25</t>
  </si>
  <si>
    <t>2024-02-12</t>
  </si>
  <si>
    <t>2024-04-29</t>
  </si>
  <si>
    <t>2024-01-21</t>
  </si>
  <si>
    <t>2024-04-24</t>
  </si>
  <si>
    <t>2024-01-08</t>
  </si>
  <si>
    <t>2024-01-19</t>
  </si>
  <si>
    <t>2024-03-28</t>
  </si>
  <si>
    <t>2024-04-26</t>
  </si>
  <si>
    <t>2024-04-23</t>
  </si>
  <si>
    <t>2024-02-23</t>
  </si>
  <si>
    <t>2024-04-02</t>
  </si>
  <si>
    <t>2024-03-13</t>
  </si>
  <si>
    <t>2024-04-12</t>
  </si>
  <si>
    <t>2024-02-09</t>
  </si>
  <si>
    <t>2024-04-17</t>
  </si>
  <si>
    <t>2024-01-26</t>
  </si>
  <si>
    <t>2024-03-18</t>
  </si>
  <si>
    <t>2024-03-24</t>
  </si>
  <si>
    <t>2024-02-19</t>
  </si>
  <si>
    <t>2024-01-31</t>
  </si>
  <si>
    <t>2024-03-21</t>
  </si>
  <si>
    <t>2024-01-22</t>
  </si>
  <si>
    <t>2024-01-18</t>
  </si>
  <si>
    <t>2024-02-27</t>
  </si>
  <si>
    <t>2024-01-13</t>
  </si>
  <si>
    <t>2024-03-06</t>
  </si>
  <si>
    <t>2024-02-25</t>
  </si>
  <si>
    <t>2024-03-15</t>
  </si>
  <si>
    <t>2024-02-07</t>
  </si>
  <si>
    <t>2024-03-19</t>
  </si>
  <si>
    <t>2024-02-14</t>
  </si>
  <si>
    <t>2024-01-02</t>
  </si>
  <si>
    <t>2024-01-09</t>
  </si>
  <si>
    <t>2024-02-13</t>
  </si>
  <si>
    <t>2024-03-09</t>
  </si>
  <si>
    <t>2024-04-15</t>
  </si>
  <si>
    <t>2024-02-01</t>
  </si>
  <si>
    <t>2024-04-28</t>
  </si>
  <si>
    <t>2024-04-14</t>
  </si>
  <si>
    <t>2024-02-28</t>
  </si>
  <si>
    <t>2024-03-26</t>
  </si>
  <si>
    <t>2024-01-15</t>
  </si>
  <si>
    <t>2024-02-20</t>
  </si>
  <si>
    <t>2024-02-17</t>
  </si>
  <si>
    <t>2024-04-04</t>
  </si>
  <si>
    <t>2024-01-03</t>
  </si>
  <si>
    <t>2024-02-21</t>
  </si>
  <si>
    <t>2024-03-30</t>
  </si>
  <si>
    <t>2024-01-28</t>
  </si>
  <si>
    <t>2024-03-11</t>
  </si>
  <si>
    <t>2024-02-02</t>
  </si>
  <si>
    <t>2024-02-10</t>
  </si>
  <si>
    <t>2024-04-20</t>
  </si>
  <si>
    <t>2024-02-15</t>
  </si>
  <si>
    <t>2024-04-10</t>
  </si>
  <si>
    <t>2024-02-26</t>
  </si>
  <si>
    <t>2024-01-04</t>
  </si>
  <si>
    <t>2024-03-04</t>
  </si>
  <si>
    <t>2024-03-02</t>
  </si>
  <si>
    <t>2024-03-20</t>
  </si>
  <si>
    <t>2024-01-27</t>
  </si>
  <si>
    <t>2024-04-08</t>
  </si>
  <si>
    <t>2024-01-20</t>
  </si>
  <si>
    <t>2024-02-16</t>
  </si>
  <si>
    <t>2024-02-22</t>
  </si>
  <si>
    <t>2024-02-05</t>
  </si>
  <si>
    <t>2024-03-29</t>
  </si>
  <si>
    <t>2024-04-30</t>
  </si>
  <si>
    <t>2024-03-05</t>
  </si>
  <si>
    <t>2024-04-11</t>
  </si>
  <si>
    <t>2024-04-13</t>
  </si>
  <si>
    <t>2024-01-11</t>
  </si>
  <si>
    <t>2024-01-30</t>
  </si>
  <si>
    <t>2024-04-21</t>
  </si>
  <si>
    <t>2024-03-08</t>
  </si>
  <si>
    <t>DATACLEANING</t>
  </si>
  <si>
    <t>DUPLICATES</t>
  </si>
  <si>
    <t>NO  DUPLICATES</t>
  </si>
  <si>
    <t>Sales prformance</t>
  </si>
  <si>
    <t>ordered month</t>
  </si>
  <si>
    <t>Row Labels</t>
  </si>
  <si>
    <t>Grand Total</t>
  </si>
  <si>
    <t>Sum of Unit_Price</t>
  </si>
  <si>
    <t>Sum of Discount</t>
  </si>
  <si>
    <t>Sum of Total_Sales</t>
  </si>
  <si>
    <t>Average of Rating</t>
  </si>
  <si>
    <t>Sum of Shipping_Cost</t>
  </si>
  <si>
    <t>Average of Total_Sales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</si>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</sst>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center"/>
    </xf>
    <xf numFmtId="0" fontId="0" fillId="0" borderId="0" xfId="0" pivotButton="1"/>
    <xf numFmtId="0" fontId="0" fillId="0" borderId="0" xfId="0" applyAlignment="1">
      <alignment horizontal="left"/>
    </xf>
  </cellXfs>
  <cellStyles count="1">
    <cellStyle name="Normal" xfId="0" builtinId="0"/>
  </cellStyles>
  <dxfs count="25">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4939596092155147"/>
          <c:w val="0.72312270341207352"/>
          <c:h val="0.53774387576552929"/>
        </c:manualLayout>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TABLE'!$A$4:$A$14</c:f>
              <c:strCache>
                <c:ptCount val="10"/>
                <c:pt idx="0">
                  <c:v>Chair</c:v>
                </c:pt>
                <c:pt idx="1">
                  <c:v>Headphones</c:v>
                </c:pt>
                <c:pt idx="2">
                  <c:v>Jacket</c:v>
                </c:pt>
                <c:pt idx="3">
                  <c:v>Jeans</c:v>
                </c:pt>
                <c:pt idx="4">
                  <c:v>Laptop</c:v>
                </c:pt>
                <c:pt idx="5">
                  <c:v>Mobile</c:v>
                </c:pt>
                <c:pt idx="6">
                  <c:v>Sofa</c:v>
                </c:pt>
                <c:pt idx="7">
                  <c:v>Table</c:v>
                </c:pt>
                <c:pt idx="8">
                  <c:v>Tablet</c:v>
                </c:pt>
                <c:pt idx="9">
                  <c:v>T-Shirt</c:v>
                </c:pt>
              </c:strCache>
            </c:strRef>
          </c:cat>
          <c:val>
            <c:numRef>
              <c:f>'PIVOT TABLE'!$B$4:$B$14</c:f>
              <c:numCache>
                <c:formatCode>General</c:formatCode>
                <c:ptCount val="10"/>
                <c:pt idx="0">
                  <c:v>955393</c:v>
                </c:pt>
                <c:pt idx="1">
                  <c:v>521822</c:v>
                </c:pt>
                <c:pt idx="2">
                  <c:v>1030230</c:v>
                </c:pt>
                <c:pt idx="3">
                  <c:v>957743</c:v>
                </c:pt>
                <c:pt idx="4">
                  <c:v>861238</c:v>
                </c:pt>
                <c:pt idx="5">
                  <c:v>818633</c:v>
                </c:pt>
                <c:pt idx="6">
                  <c:v>921794</c:v>
                </c:pt>
                <c:pt idx="7">
                  <c:v>1065418</c:v>
                </c:pt>
                <c:pt idx="8">
                  <c:v>527142</c:v>
                </c:pt>
                <c:pt idx="9">
                  <c:v>722716</c:v>
                </c:pt>
              </c:numCache>
            </c:numRef>
          </c:val>
          <c:extLst>
            <c:ext xmlns:c16="http://schemas.microsoft.com/office/drawing/2014/chart" uri="{C3380CC4-5D6E-409C-BE32-E72D297353CC}">
              <c16:uniqueId val="{00000000-DEC7-467C-86E1-1A6010164673}"/>
            </c:ext>
          </c:extLst>
        </c:ser>
        <c:dLbls>
          <c:showLegendKey val="0"/>
          <c:showVal val="0"/>
          <c:showCatName val="0"/>
          <c:showSerName val="0"/>
          <c:showPercent val="0"/>
          <c:showBubbleSize val="0"/>
        </c:dLbls>
        <c:gapWidth val="100"/>
        <c:overlap val="-24"/>
        <c:axId val="1088014656"/>
        <c:axId val="1088012256"/>
      </c:barChart>
      <c:catAx>
        <c:axId val="1088014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12256"/>
        <c:crosses val="autoZero"/>
        <c:auto val="1"/>
        <c:lblAlgn val="ctr"/>
        <c:lblOffset val="100"/>
        <c:noMultiLvlLbl val="0"/>
      </c:catAx>
      <c:valAx>
        <c:axId val="1088012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1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31238352250833E-2"/>
          <c:y val="0.11978086633166188"/>
          <c:w val="0.86140466909460423"/>
          <c:h val="0.71678679794304445"/>
        </c:manualLayout>
      </c:layout>
      <c:barChart>
        <c:barDir val="bar"/>
        <c:grouping val="clustered"/>
        <c:varyColors val="0"/>
        <c:ser>
          <c:idx val="0"/>
          <c:order val="0"/>
          <c:tx>
            <c:strRef>
              <c:f>'PIVOT TABLE'!$G$3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TABLE'!$F$4:$F$7</c:f>
              <c:strCache>
                <c:ptCount val="3"/>
                <c:pt idx="0">
                  <c:v>Clothing</c:v>
                </c:pt>
                <c:pt idx="1">
                  <c:v>Electronics</c:v>
                </c:pt>
                <c:pt idx="2">
                  <c:v>Furniture</c:v>
                </c:pt>
              </c:strCache>
            </c:strRef>
          </c:cat>
          <c:val>
            <c:numRef>
              <c:f>'PIVOT TABLE'!$G$4:$G$7</c:f>
              <c:numCache>
                <c:formatCode>General</c:formatCode>
                <c:ptCount val="3"/>
                <c:pt idx="0">
                  <c:v>14274278.880000006</c:v>
                </c:pt>
                <c:pt idx="1">
                  <c:v>14007886.239999993</c:v>
                </c:pt>
                <c:pt idx="2">
                  <c:v>15090819.880000003</c:v>
                </c:pt>
              </c:numCache>
            </c:numRef>
          </c:val>
          <c:extLst>
            <c:ext xmlns:c16="http://schemas.microsoft.com/office/drawing/2014/chart" uri="{C3380CC4-5D6E-409C-BE32-E72D297353CC}">
              <c16:uniqueId val="{00000000-CADB-422C-83E1-01CD81042DC9}"/>
            </c:ext>
          </c:extLst>
        </c:ser>
        <c:dLbls>
          <c:showLegendKey val="0"/>
          <c:showVal val="0"/>
          <c:showCatName val="0"/>
          <c:showSerName val="0"/>
          <c:showPercent val="0"/>
          <c:showBubbleSize val="0"/>
        </c:dLbls>
        <c:gapWidth val="115"/>
        <c:overlap val="-20"/>
        <c:axId val="1101686768"/>
        <c:axId val="481886896"/>
      </c:barChart>
      <c:catAx>
        <c:axId val="1101686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1886896"/>
        <c:crosses val="autoZero"/>
        <c:auto val="1"/>
        <c:lblAlgn val="ctr"/>
        <c:lblOffset val="100"/>
        <c:noMultiLvlLbl val="0"/>
      </c:catAx>
      <c:valAx>
        <c:axId val="481886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6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C24-4A92-AC43-FD10EEA468D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C24-4A92-AC43-FD10EEA468D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C24-4A92-AC43-FD10EEA468D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C24-4A92-AC43-FD10EEA468D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TABLE'!$J$4:$J$8</c:f>
              <c:strCache>
                <c:ptCount val="4"/>
                <c:pt idx="0">
                  <c:v>Cash</c:v>
                </c:pt>
                <c:pt idx="1">
                  <c:v>Credit Card</c:v>
                </c:pt>
                <c:pt idx="2">
                  <c:v>Debit Card</c:v>
                </c:pt>
                <c:pt idx="3">
                  <c:v>UPI</c:v>
                </c:pt>
              </c:strCache>
            </c:strRef>
          </c:cat>
          <c:val>
            <c:numRef>
              <c:f>'PIVOT TABLE'!$K$4:$K$8</c:f>
              <c:numCache>
                <c:formatCode>General</c:formatCode>
                <c:ptCount val="4"/>
                <c:pt idx="0">
                  <c:v>12091728.170000006</c:v>
                </c:pt>
                <c:pt idx="1">
                  <c:v>10882030.400000002</c:v>
                </c:pt>
                <c:pt idx="2">
                  <c:v>8662271.3800000008</c:v>
                </c:pt>
                <c:pt idx="3">
                  <c:v>11736955.049999997</c:v>
                </c:pt>
              </c:numCache>
            </c:numRef>
          </c:val>
          <c:extLst>
            <c:ext xmlns:c16="http://schemas.microsoft.com/office/drawing/2014/chart" uri="{C3380CC4-5D6E-409C-BE32-E72D297353CC}">
              <c16:uniqueId val="{00000000-DEBC-4F01-9665-DA0D9DD0373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366-4694-A427-AB80251A75D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366-4694-A427-AB80251A75D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366-4694-A427-AB80251A75D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366-4694-A427-AB80251A75D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TABLE'!$A$18:$A$22</c:f>
              <c:strCache>
                <c:ptCount val="4"/>
                <c:pt idx="0">
                  <c:v>East</c:v>
                </c:pt>
                <c:pt idx="1">
                  <c:v>North</c:v>
                </c:pt>
                <c:pt idx="2">
                  <c:v>South</c:v>
                </c:pt>
                <c:pt idx="3">
                  <c:v>West</c:v>
                </c:pt>
              </c:strCache>
            </c:strRef>
          </c:cat>
          <c:val>
            <c:numRef>
              <c:f>'PIVOT TABLE'!$B$18:$B$22</c:f>
              <c:numCache>
                <c:formatCode>General</c:formatCode>
                <c:ptCount val="4"/>
                <c:pt idx="0">
                  <c:v>9082899.4100000001</c:v>
                </c:pt>
                <c:pt idx="1">
                  <c:v>11361424.909999995</c:v>
                </c:pt>
                <c:pt idx="2">
                  <c:v>10697644.859999999</c:v>
                </c:pt>
                <c:pt idx="3">
                  <c:v>12231015.820000002</c:v>
                </c:pt>
              </c:numCache>
            </c:numRef>
          </c:val>
          <c:extLst>
            <c:ext xmlns:c16="http://schemas.microsoft.com/office/drawing/2014/chart" uri="{C3380CC4-5D6E-409C-BE32-E72D297353CC}">
              <c16:uniqueId val="{00000000-98A7-4768-A07B-0F4DF492950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TABLE'!$F$14:$F$22</c:f>
              <c:strCache>
                <c:ptCount val="8"/>
                <c:pt idx="0">
                  <c:v>Ahmedabad</c:v>
                </c:pt>
                <c:pt idx="1">
                  <c:v>Bangalore</c:v>
                </c:pt>
                <c:pt idx="2">
                  <c:v>Chennai</c:v>
                </c:pt>
                <c:pt idx="3">
                  <c:v>Delhi</c:v>
                </c:pt>
                <c:pt idx="4">
                  <c:v>Kochi</c:v>
                </c:pt>
                <c:pt idx="5">
                  <c:v>Kolkata</c:v>
                </c:pt>
                <c:pt idx="6">
                  <c:v>Mumbai</c:v>
                </c:pt>
                <c:pt idx="7">
                  <c:v>Pune</c:v>
                </c:pt>
              </c:strCache>
            </c:strRef>
          </c:cat>
          <c:val>
            <c:numRef>
              <c:f>'PIVOT TABLE'!$G$14:$G$22</c:f>
              <c:numCache>
                <c:formatCode>General</c:formatCode>
                <c:ptCount val="8"/>
                <c:pt idx="0">
                  <c:v>15165</c:v>
                </c:pt>
                <c:pt idx="1">
                  <c:v>18778</c:v>
                </c:pt>
                <c:pt idx="2">
                  <c:v>17986</c:v>
                </c:pt>
                <c:pt idx="3">
                  <c:v>19515</c:v>
                </c:pt>
                <c:pt idx="4">
                  <c:v>14813</c:v>
                </c:pt>
                <c:pt idx="5">
                  <c:v>17343</c:v>
                </c:pt>
                <c:pt idx="6">
                  <c:v>17329</c:v>
                </c:pt>
                <c:pt idx="7">
                  <c:v>13773</c:v>
                </c:pt>
              </c:numCache>
            </c:numRef>
          </c:val>
          <c:extLst>
            <c:ext xmlns:c16="http://schemas.microsoft.com/office/drawing/2014/chart" uri="{C3380CC4-5D6E-409C-BE32-E72D297353CC}">
              <c16:uniqueId val="{00000000-1079-46B1-A3F5-EF34B192ED08}"/>
            </c:ext>
          </c:extLst>
        </c:ser>
        <c:dLbls>
          <c:showLegendKey val="0"/>
          <c:showVal val="0"/>
          <c:showCatName val="0"/>
          <c:showSerName val="0"/>
          <c:showPercent val="0"/>
          <c:showBubbleSize val="0"/>
        </c:dLbls>
        <c:gapWidth val="100"/>
        <c:overlap val="-24"/>
        <c:axId val="1088034336"/>
        <c:axId val="1088029056"/>
      </c:barChart>
      <c:catAx>
        <c:axId val="1088034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29056"/>
        <c:crosses val="autoZero"/>
        <c:auto val="1"/>
        <c:lblAlgn val="ctr"/>
        <c:lblOffset val="100"/>
        <c:noMultiLvlLbl val="0"/>
      </c:catAx>
      <c:valAx>
        <c:axId val="1088029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3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8"/>
              <c:pt idx="0">
                <c:v>Ahmedabad</c:v>
              </c:pt>
              <c:pt idx="1">
                <c:v>Bangalore</c:v>
              </c:pt>
              <c:pt idx="2">
                <c:v>Chennai</c:v>
              </c:pt>
              <c:pt idx="3">
                <c:v>Delhi</c:v>
              </c:pt>
              <c:pt idx="4">
                <c:v>Kochi</c:v>
              </c:pt>
              <c:pt idx="5">
                <c:v>Kolkata</c:v>
              </c:pt>
              <c:pt idx="6">
                <c:v>Mumbai</c:v>
              </c:pt>
              <c:pt idx="7">
                <c:v>Pune</c:v>
              </c:pt>
            </c:strLit>
          </c:cat>
          <c:val>
            <c:numLit>
              <c:formatCode>General</c:formatCode>
              <c:ptCount val="8"/>
              <c:pt idx="0">
                <c:v>76744.88</c:v>
              </c:pt>
              <c:pt idx="1">
                <c:v>85490.77710144929</c:v>
              </c:pt>
              <c:pt idx="2">
                <c:v>103920.86954545454</c:v>
              </c:pt>
              <c:pt idx="3">
                <c:v>80793.981470588245</c:v>
              </c:pt>
              <c:pt idx="4">
                <c:v>77522.978490566049</c:v>
              </c:pt>
              <c:pt idx="5">
                <c:v>85160.571515151547</c:v>
              </c:pt>
              <c:pt idx="6">
                <c:v>85121.960447761172</c:v>
              </c:pt>
              <c:pt idx="7">
                <c:v>98823.835471698098</c:v>
              </c:pt>
            </c:numLit>
          </c:val>
          <c:smooth val="0"/>
          <c:extLst>
            <c:ext xmlns:c16="http://schemas.microsoft.com/office/drawing/2014/chart" uri="{C3380CC4-5D6E-409C-BE32-E72D297353CC}">
              <c16:uniqueId val="{00000000-9759-42BB-8865-2F53468BF714}"/>
            </c:ext>
          </c:extLst>
        </c:ser>
        <c:dLbls>
          <c:showLegendKey val="0"/>
          <c:showVal val="0"/>
          <c:showCatName val="0"/>
          <c:showSerName val="0"/>
          <c:showPercent val="0"/>
          <c:showBubbleSize val="0"/>
        </c:dLbls>
        <c:marker val="1"/>
        <c:smooth val="0"/>
        <c:axId val="1323800784"/>
        <c:axId val="1212543328"/>
      </c:lineChart>
      <c:catAx>
        <c:axId val="1323800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2543328"/>
        <c:crosses val="autoZero"/>
        <c:auto val="1"/>
        <c:lblAlgn val="ctr"/>
        <c:lblOffset val="100"/>
        <c:noMultiLvlLbl val="0"/>
      </c:catAx>
      <c:valAx>
        <c:axId val="1212543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38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TABLE'!$N$4:$N$14</c:f>
              <c:strCache>
                <c:ptCount val="10"/>
                <c:pt idx="0">
                  <c:v>Chair</c:v>
                </c:pt>
                <c:pt idx="1">
                  <c:v>Headphones</c:v>
                </c:pt>
                <c:pt idx="2">
                  <c:v>Jacket</c:v>
                </c:pt>
                <c:pt idx="3">
                  <c:v>Jeans</c:v>
                </c:pt>
                <c:pt idx="4">
                  <c:v>Laptop</c:v>
                </c:pt>
                <c:pt idx="5">
                  <c:v>Mobile</c:v>
                </c:pt>
                <c:pt idx="6">
                  <c:v>Sofa</c:v>
                </c:pt>
                <c:pt idx="7">
                  <c:v>Table</c:v>
                </c:pt>
                <c:pt idx="8">
                  <c:v>Tablet</c:v>
                </c:pt>
                <c:pt idx="9">
                  <c:v>T-Shirt</c:v>
                </c:pt>
              </c:strCache>
            </c:strRef>
          </c:cat>
          <c:val>
            <c:numRef>
              <c:f>'PIVOT TABLE'!$O$4:$O$14</c:f>
              <c:numCache>
                <c:formatCode>General</c:formatCode>
                <c:ptCount val="10"/>
                <c:pt idx="0">
                  <c:v>3.3898305084745761</c:v>
                </c:pt>
                <c:pt idx="1">
                  <c:v>3.2903225806451615</c:v>
                </c:pt>
                <c:pt idx="2">
                  <c:v>2.7419354838709675</c:v>
                </c:pt>
                <c:pt idx="3">
                  <c:v>2.8269230769230771</c:v>
                </c:pt>
                <c:pt idx="4">
                  <c:v>2.9038461538461537</c:v>
                </c:pt>
                <c:pt idx="5">
                  <c:v>3.0833333333333335</c:v>
                </c:pt>
                <c:pt idx="6">
                  <c:v>2.9038461538461537</c:v>
                </c:pt>
                <c:pt idx="7">
                  <c:v>3.0172413793103448</c:v>
                </c:pt>
                <c:pt idx="8">
                  <c:v>3.3235294117647061</c:v>
                </c:pt>
                <c:pt idx="9">
                  <c:v>3.0384615384615383</c:v>
                </c:pt>
              </c:numCache>
            </c:numRef>
          </c:val>
          <c:smooth val="0"/>
          <c:extLst>
            <c:ext xmlns:c16="http://schemas.microsoft.com/office/drawing/2014/chart" uri="{C3380CC4-5D6E-409C-BE32-E72D297353CC}">
              <c16:uniqueId val="{00000000-0466-476D-9AAA-28E980CFD7CE}"/>
            </c:ext>
          </c:extLst>
        </c:ser>
        <c:dLbls>
          <c:showLegendKey val="0"/>
          <c:showVal val="0"/>
          <c:showCatName val="0"/>
          <c:showSerName val="0"/>
          <c:showPercent val="0"/>
          <c:showBubbleSize val="0"/>
        </c:dLbls>
        <c:marker val="1"/>
        <c:smooth val="0"/>
        <c:axId val="1684594752"/>
        <c:axId val="1684587072"/>
      </c:lineChart>
      <c:catAx>
        <c:axId val="1684594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87072"/>
        <c:crosses val="autoZero"/>
        <c:auto val="1"/>
        <c:lblAlgn val="ctr"/>
        <c:lblOffset val="100"/>
        <c:noMultiLvlLbl val="0"/>
      </c:catAx>
      <c:valAx>
        <c:axId val="1684587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9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TABLE!PivotTable2</c:name>
    <c:fmtId val="7"/>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baseline="0"/>
              <a:t> TOTAL SALES FOR EACH CATOGORIES</a:t>
            </a:r>
            <a:endParaRPr lang="en-US" sz="800"/>
          </a:p>
        </c:rich>
      </c:tx>
      <c:overlay val="1"/>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1905009996603"/>
          <c:y val="0.16543175748901232"/>
          <c:w val="0.78130226684672022"/>
          <c:h val="0.70792998669890994"/>
        </c:manualLayout>
      </c:layout>
      <c:barChart>
        <c:barDir val="bar"/>
        <c:grouping val="clustered"/>
        <c:varyColors val="0"/>
        <c:ser>
          <c:idx val="0"/>
          <c:order val="0"/>
          <c:tx>
            <c:strRef>
              <c:f>'PIVOT TABLE'!$G$3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TABLE'!$F$4:$F$7</c:f>
              <c:strCache>
                <c:ptCount val="3"/>
                <c:pt idx="0">
                  <c:v>Clothing</c:v>
                </c:pt>
                <c:pt idx="1">
                  <c:v>Electronics</c:v>
                </c:pt>
                <c:pt idx="2">
                  <c:v>Furniture</c:v>
                </c:pt>
              </c:strCache>
            </c:strRef>
          </c:cat>
          <c:val>
            <c:numRef>
              <c:f>'PIVOT TABLE'!$G$4:$G$7</c:f>
              <c:numCache>
                <c:formatCode>General</c:formatCode>
                <c:ptCount val="3"/>
                <c:pt idx="0">
                  <c:v>14274278.880000006</c:v>
                </c:pt>
                <c:pt idx="1">
                  <c:v>14007886.239999993</c:v>
                </c:pt>
                <c:pt idx="2">
                  <c:v>15090819.880000003</c:v>
                </c:pt>
              </c:numCache>
            </c:numRef>
          </c:val>
          <c:extLst>
            <c:ext xmlns:c16="http://schemas.microsoft.com/office/drawing/2014/chart" uri="{C3380CC4-5D6E-409C-BE32-E72D297353CC}">
              <c16:uniqueId val="{00000000-7D1E-46A2-B266-67989C9D8E1C}"/>
            </c:ext>
          </c:extLst>
        </c:ser>
        <c:dLbls>
          <c:showLegendKey val="0"/>
          <c:showVal val="0"/>
          <c:showCatName val="0"/>
          <c:showSerName val="0"/>
          <c:showPercent val="0"/>
          <c:showBubbleSize val="0"/>
        </c:dLbls>
        <c:gapWidth val="115"/>
        <c:overlap val="-20"/>
        <c:axId val="1101686768"/>
        <c:axId val="481886896"/>
      </c:barChart>
      <c:catAx>
        <c:axId val="1101686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1886896"/>
        <c:crosses val="autoZero"/>
        <c:auto val="1"/>
        <c:lblAlgn val="ctr"/>
        <c:lblOffset val="100"/>
        <c:noMultiLvlLbl val="0"/>
      </c:catAx>
      <c:valAx>
        <c:axId val="481886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6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TABLE!PivotTable6</c:name>
    <c:fmtId val="7"/>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u="none"/>
              <a:t>AVERAGE</a:t>
            </a:r>
            <a:r>
              <a:rPr lang="en-US" sz="900" b="1" u="none" baseline="0"/>
              <a:t> RATINGS PER PRODUCT</a:t>
            </a:r>
            <a:endParaRPr lang="en-US" sz="900" b="1" u="none"/>
          </a:p>
        </c:rich>
      </c:tx>
      <c:layout>
        <c:manualLayout>
          <c:xMode val="edge"/>
          <c:yMode val="edge"/>
          <c:x val="0.17510642524154341"/>
          <c:y val="3.0321949774658487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7543486632434"/>
          <c:y val="0.26222203305667874"/>
          <c:w val="0.86544125073796674"/>
          <c:h val="0.58389208811585114"/>
        </c:manualLayout>
      </c:layout>
      <c:lineChart>
        <c:grouping val="standard"/>
        <c:varyColors val="0"/>
        <c:ser>
          <c:idx val="0"/>
          <c:order val="0"/>
          <c:tx>
            <c:strRef>
              <c:f>'PIVOT TABLE'!$O$3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TABLE'!$N$4:$N$14</c:f>
              <c:strCache>
                <c:ptCount val="10"/>
                <c:pt idx="0">
                  <c:v>Chair</c:v>
                </c:pt>
                <c:pt idx="1">
                  <c:v>Headphones</c:v>
                </c:pt>
                <c:pt idx="2">
                  <c:v>Jacket</c:v>
                </c:pt>
                <c:pt idx="3">
                  <c:v>Jeans</c:v>
                </c:pt>
                <c:pt idx="4">
                  <c:v>Laptop</c:v>
                </c:pt>
                <c:pt idx="5">
                  <c:v>Mobile</c:v>
                </c:pt>
                <c:pt idx="6">
                  <c:v>Sofa</c:v>
                </c:pt>
                <c:pt idx="7">
                  <c:v>Table</c:v>
                </c:pt>
                <c:pt idx="8">
                  <c:v>Tablet</c:v>
                </c:pt>
                <c:pt idx="9">
                  <c:v>T-Shirt</c:v>
                </c:pt>
              </c:strCache>
            </c:strRef>
          </c:cat>
          <c:val>
            <c:numRef>
              <c:f>'PIVOT TABLE'!$O$4:$O$14</c:f>
              <c:numCache>
                <c:formatCode>General</c:formatCode>
                <c:ptCount val="10"/>
                <c:pt idx="0">
                  <c:v>3.3898305084745761</c:v>
                </c:pt>
                <c:pt idx="1">
                  <c:v>3.2903225806451615</c:v>
                </c:pt>
                <c:pt idx="2">
                  <c:v>2.7419354838709675</c:v>
                </c:pt>
                <c:pt idx="3">
                  <c:v>2.8269230769230771</c:v>
                </c:pt>
                <c:pt idx="4">
                  <c:v>2.9038461538461537</c:v>
                </c:pt>
                <c:pt idx="5">
                  <c:v>3.0833333333333335</c:v>
                </c:pt>
                <c:pt idx="6">
                  <c:v>2.9038461538461537</c:v>
                </c:pt>
                <c:pt idx="7">
                  <c:v>3.0172413793103448</c:v>
                </c:pt>
                <c:pt idx="8">
                  <c:v>3.3235294117647061</c:v>
                </c:pt>
                <c:pt idx="9">
                  <c:v>3.0384615384615383</c:v>
                </c:pt>
              </c:numCache>
            </c:numRef>
          </c:val>
          <c:smooth val="0"/>
          <c:extLst>
            <c:ext xmlns:c16="http://schemas.microsoft.com/office/drawing/2014/chart" uri="{C3380CC4-5D6E-409C-BE32-E72D297353CC}">
              <c16:uniqueId val="{00000000-F0C0-4D99-BB35-478115609B66}"/>
            </c:ext>
          </c:extLst>
        </c:ser>
        <c:dLbls>
          <c:showLegendKey val="0"/>
          <c:showVal val="0"/>
          <c:showCatName val="0"/>
          <c:showSerName val="0"/>
          <c:showPercent val="0"/>
          <c:showBubbleSize val="0"/>
        </c:dLbls>
        <c:marker val="1"/>
        <c:smooth val="0"/>
        <c:axId val="1684594752"/>
        <c:axId val="1684587072"/>
      </c:lineChart>
      <c:catAx>
        <c:axId val="1684594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87072"/>
        <c:crosses val="autoZero"/>
        <c:auto val="1"/>
        <c:lblAlgn val="ctr"/>
        <c:lblOffset val="100"/>
        <c:noMultiLvlLbl val="0"/>
      </c:catAx>
      <c:valAx>
        <c:axId val="1684587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9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TABLE!PivotTable1</c:name>
    <c:fmtId val="4"/>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1" baseline="0"/>
              <a:t>TOTAL PROFIT PER PRODUCT</a:t>
            </a:r>
          </a:p>
        </c:rich>
      </c:tx>
      <c:layout>
        <c:manualLayout>
          <c:xMode val="edge"/>
          <c:yMode val="edge"/>
          <c:x val="0.12772182254196643"/>
          <c:y val="2.0942408376963352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4939596092155147"/>
          <c:w val="0.72312270341207352"/>
          <c:h val="0.53774387576552929"/>
        </c:manualLayout>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TABLE'!$A$4:$A$14</c:f>
              <c:strCache>
                <c:ptCount val="10"/>
                <c:pt idx="0">
                  <c:v>Chair</c:v>
                </c:pt>
                <c:pt idx="1">
                  <c:v>Headphones</c:v>
                </c:pt>
                <c:pt idx="2">
                  <c:v>Jacket</c:v>
                </c:pt>
                <c:pt idx="3">
                  <c:v>Jeans</c:v>
                </c:pt>
                <c:pt idx="4">
                  <c:v>Laptop</c:v>
                </c:pt>
                <c:pt idx="5">
                  <c:v>Mobile</c:v>
                </c:pt>
                <c:pt idx="6">
                  <c:v>Sofa</c:v>
                </c:pt>
                <c:pt idx="7">
                  <c:v>Table</c:v>
                </c:pt>
                <c:pt idx="8">
                  <c:v>Tablet</c:v>
                </c:pt>
                <c:pt idx="9">
                  <c:v>T-Shirt</c:v>
                </c:pt>
              </c:strCache>
            </c:strRef>
          </c:cat>
          <c:val>
            <c:numRef>
              <c:f>'PIVOT TABLE'!$B$4:$B$14</c:f>
              <c:numCache>
                <c:formatCode>General</c:formatCode>
                <c:ptCount val="10"/>
                <c:pt idx="0">
                  <c:v>955393</c:v>
                </c:pt>
                <c:pt idx="1">
                  <c:v>521822</c:v>
                </c:pt>
                <c:pt idx="2">
                  <c:v>1030230</c:v>
                </c:pt>
                <c:pt idx="3">
                  <c:v>957743</c:v>
                </c:pt>
                <c:pt idx="4">
                  <c:v>861238</c:v>
                </c:pt>
                <c:pt idx="5">
                  <c:v>818633</c:v>
                </c:pt>
                <c:pt idx="6">
                  <c:v>921794</c:v>
                </c:pt>
                <c:pt idx="7">
                  <c:v>1065418</c:v>
                </c:pt>
                <c:pt idx="8">
                  <c:v>527142</c:v>
                </c:pt>
                <c:pt idx="9">
                  <c:v>722716</c:v>
                </c:pt>
              </c:numCache>
            </c:numRef>
          </c:val>
          <c:extLst>
            <c:ext xmlns:c16="http://schemas.microsoft.com/office/drawing/2014/chart" uri="{C3380CC4-5D6E-409C-BE32-E72D297353CC}">
              <c16:uniqueId val="{00000000-1654-425C-8763-59B0E8B02FAD}"/>
            </c:ext>
          </c:extLst>
        </c:ser>
        <c:dLbls>
          <c:showLegendKey val="0"/>
          <c:showVal val="0"/>
          <c:showCatName val="0"/>
          <c:showSerName val="0"/>
          <c:showPercent val="0"/>
          <c:showBubbleSize val="0"/>
        </c:dLbls>
        <c:gapWidth val="100"/>
        <c:overlap val="-24"/>
        <c:axId val="1088014656"/>
        <c:axId val="1088012256"/>
      </c:barChart>
      <c:catAx>
        <c:axId val="1088014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12256"/>
        <c:crosses val="autoZero"/>
        <c:auto val="1"/>
        <c:lblAlgn val="ctr"/>
        <c:lblOffset val="100"/>
        <c:noMultiLvlLbl val="0"/>
      </c:catAx>
      <c:valAx>
        <c:axId val="1088012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1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TABLE!PivotTable2</c:name>
    <c:fmtId val="3"/>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baseline="0"/>
              <a:t> TOTAL SALES FOR EACH CATOGORIES</a:t>
            </a:r>
            <a:endParaRPr lang="en-US" sz="800"/>
          </a:p>
        </c:rich>
      </c:tx>
      <c:overlay val="1"/>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1905009996603"/>
          <c:y val="0.16543175748901232"/>
          <c:w val="0.78130226684672022"/>
          <c:h val="0.70792998669890994"/>
        </c:manualLayout>
      </c:layout>
      <c:barChart>
        <c:barDir val="bar"/>
        <c:grouping val="clustered"/>
        <c:varyColors val="0"/>
        <c:ser>
          <c:idx val="0"/>
          <c:order val="0"/>
          <c:tx>
            <c:strRef>
              <c:f>'PIVOT TABLE'!$G$3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TABLE'!$F$4:$F$7</c:f>
              <c:strCache>
                <c:ptCount val="3"/>
                <c:pt idx="0">
                  <c:v>Clothing</c:v>
                </c:pt>
                <c:pt idx="1">
                  <c:v>Electronics</c:v>
                </c:pt>
                <c:pt idx="2">
                  <c:v>Furniture</c:v>
                </c:pt>
              </c:strCache>
            </c:strRef>
          </c:cat>
          <c:val>
            <c:numRef>
              <c:f>'PIVOT TABLE'!$G$4:$G$7</c:f>
              <c:numCache>
                <c:formatCode>General</c:formatCode>
                <c:ptCount val="3"/>
                <c:pt idx="0">
                  <c:v>14274278.880000006</c:v>
                </c:pt>
                <c:pt idx="1">
                  <c:v>14007886.239999993</c:v>
                </c:pt>
                <c:pt idx="2">
                  <c:v>15090819.880000003</c:v>
                </c:pt>
              </c:numCache>
            </c:numRef>
          </c:val>
          <c:extLst>
            <c:ext xmlns:c16="http://schemas.microsoft.com/office/drawing/2014/chart" uri="{C3380CC4-5D6E-409C-BE32-E72D297353CC}">
              <c16:uniqueId val="{00000000-C278-47CF-AD86-5B333EC1F4A3}"/>
            </c:ext>
          </c:extLst>
        </c:ser>
        <c:dLbls>
          <c:showLegendKey val="0"/>
          <c:showVal val="0"/>
          <c:showCatName val="0"/>
          <c:showSerName val="0"/>
          <c:showPercent val="0"/>
          <c:showBubbleSize val="0"/>
        </c:dLbls>
        <c:gapWidth val="115"/>
        <c:overlap val="-20"/>
        <c:axId val="1101686768"/>
        <c:axId val="481886896"/>
      </c:barChart>
      <c:catAx>
        <c:axId val="1101686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1886896"/>
        <c:crosses val="autoZero"/>
        <c:auto val="1"/>
        <c:lblAlgn val="ctr"/>
        <c:lblOffset val="100"/>
        <c:noMultiLvlLbl val="0"/>
      </c:catAx>
      <c:valAx>
        <c:axId val="481886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6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TABLE!PivotTable3</c:name>
    <c:fmtId val="3"/>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AMOUNT</a:t>
            </a:r>
            <a:r>
              <a:rPr lang="en-US" sz="800" baseline="0"/>
              <a:t> RECEIVED BY PAYMENT METHOD</a:t>
            </a:r>
          </a:p>
        </c:rich>
      </c:tx>
      <c:layout>
        <c:manualLayout>
          <c:xMode val="edge"/>
          <c:yMode val="edge"/>
          <c:x val="0.11924551241186263"/>
          <c:y val="3.864734299516908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1184989005632805E-2"/>
              <c:y val="7.160738965600314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423401546586195"/>
                  <c:h val="0.16240650406504065"/>
                </c:manualLayout>
              </c15:layout>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3.864708940367961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497275847777926"/>
                  <c:h val="0.16240650406504065"/>
                </c:manualLayout>
              </c15:layout>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5573793063566366E-3"/>
              <c:y val="-0.1417069243156199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748641366082824"/>
                  <c:h val="0.16083735909822866"/>
                </c:manualLayout>
              </c15:layout>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97286174359511E-2"/>
              <c:y val="4.849252539084788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423401546586195"/>
                  <c:h val="0.16240650406504065"/>
                </c:manualLayout>
              </c15:layout>
            </c:ext>
          </c:extLst>
        </c:dLbl>
      </c:pivotFmt>
    </c:pivotFmts>
    <c:plotArea>
      <c:layout/>
      <c:pieChart>
        <c:varyColors val="1"/>
        <c:ser>
          <c:idx val="0"/>
          <c:order val="0"/>
          <c:tx>
            <c:strRef>
              <c:f>'PIVOT TABLE'!$K$3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B6E-421C-A621-370348E5FE7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B6E-421C-A621-370348E5FE7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B6E-421C-A621-370348E5FE7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B6E-421C-A621-370348E5FE7D}"/>
              </c:ext>
            </c:extLst>
          </c:dPt>
          <c:dLbls>
            <c:dLbl>
              <c:idx val="0"/>
              <c:layout>
                <c:manualLayout>
                  <c:x val="-4.1184989005632805E-2"/>
                  <c:y val="7.160738965600314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423401546586195"/>
                      <c:h val="0.16240650406504065"/>
                    </c:manualLayout>
                  </c15:layout>
                </c:ext>
                <c:ext xmlns:c16="http://schemas.microsoft.com/office/drawing/2014/chart" uri="{C3380CC4-5D6E-409C-BE32-E72D297353CC}">
                  <c16:uniqueId val="{00000001-3B6E-421C-A621-370348E5FE7D}"/>
                </c:ext>
              </c:extLst>
            </c:dLbl>
            <c:dLbl>
              <c:idx val="1"/>
              <c:layout>
                <c:manualLayout>
                  <c:x val="0"/>
                  <c:y val="-3.864708940367961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3497275847777926"/>
                      <c:h val="0.16240650406504065"/>
                    </c:manualLayout>
                  </c15:layout>
                </c:ext>
                <c:ext xmlns:c16="http://schemas.microsoft.com/office/drawing/2014/chart" uri="{C3380CC4-5D6E-409C-BE32-E72D297353CC}">
                  <c16:uniqueId val="{00000003-3B6E-421C-A621-370348E5FE7D}"/>
                </c:ext>
              </c:extLst>
            </c:dLbl>
            <c:dLbl>
              <c:idx val="2"/>
              <c:layout>
                <c:manualLayout>
                  <c:x val="6.5573793063566366E-3"/>
                  <c:y val="-0.14170692431561999"/>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1748641366082824"/>
                      <c:h val="0.16083735909822866"/>
                    </c:manualLayout>
                  </c15:layout>
                </c:ext>
                <c:ext xmlns:c16="http://schemas.microsoft.com/office/drawing/2014/chart" uri="{C3380CC4-5D6E-409C-BE32-E72D297353CC}">
                  <c16:uniqueId val="{00000005-3B6E-421C-A621-370348E5FE7D}"/>
                </c:ext>
              </c:extLst>
            </c:dLbl>
            <c:dLbl>
              <c:idx val="3"/>
              <c:layout>
                <c:manualLayout>
                  <c:x val="3.497286174359511E-2"/>
                  <c:y val="4.849252539084788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423401546586195"/>
                      <c:h val="0.16240650406504065"/>
                    </c:manualLayout>
                  </c15:layout>
                </c:ext>
                <c:ext xmlns:c16="http://schemas.microsoft.com/office/drawing/2014/chart" uri="{C3380CC4-5D6E-409C-BE32-E72D297353CC}">
                  <c16:uniqueId val="{00000007-3B6E-421C-A621-370348E5FE7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TABLE'!$J$4:$J$8</c:f>
              <c:strCache>
                <c:ptCount val="4"/>
                <c:pt idx="0">
                  <c:v>Cash</c:v>
                </c:pt>
                <c:pt idx="1">
                  <c:v>Credit Card</c:v>
                </c:pt>
                <c:pt idx="2">
                  <c:v>Debit Card</c:v>
                </c:pt>
                <c:pt idx="3">
                  <c:v>UPI</c:v>
                </c:pt>
              </c:strCache>
            </c:strRef>
          </c:cat>
          <c:val>
            <c:numRef>
              <c:f>'PIVOT TABLE'!$K$4:$K$8</c:f>
              <c:numCache>
                <c:formatCode>General</c:formatCode>
                <c:ptCount val="4"/>
                <c:pt idx="0">
                  <c:v>12091728.170000006</c:v>
                </c:pt>
                <c:pt idx="1">
                  <c:v>10882030.400000002</c:v>
                </c:pt>
                <c:pt idx="2">
                  <c:v>8662271.3800000008</c:v>
                </c:pt>
                <c:pt idx="3">
                  <c:v>11736955.049999997</c:v>
                </c:pt>
              </c:numCache>
            </c:numRef>
          </c:val>
          <c:extLst>
            <c:ext xmlns:c16="http://schemas.microsoft.com/office/drawing/2014/chart" uri="{C3380CC4-5D6E-409C-BE32-E72D297353CC}">
              <c16:uniqueId val="{00000008-3B6E-421C-A621-370348E5FE7D}"/>
            </c:ext>
          </c:extLst>
        </c:ser>
        <c:dLbls>
          <c:dLblPos val="outEnd"/>
          <c:showLegendKey val="0"/>
          <c:showVal val="1"/>
          <c:showCatName val="0"/>
          <c:showSerName val="0"/>
          <c:showPercent val="0"/>
          <c:showBubbleSize val="0"/>
          <c:showLeaderLines val="1"/>
        </c:dLbls>
        <c:firstSliceAng val="71"/>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TABLE!PivotTable4</c:name>
    <c:fmtId val="3"/>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REGION</a:t>
            </a:r>
            <a:r>
              <a:rPr lang="en-US" sz="1100" baseline="0"/>
              <a:t> WISE SALES</a:t>
            </a:r>
            <a:endParaRPr lang="en-US" sz="1100"/>
          </a:p>
        </c:rich>
      </c:tx>
      <c:layout>
        <c:manualLayout>
          <c:xMode val="edge"/>
          <c:yMode val="edge"/>
          <c:x val="0.27864932613760363"/>
          <c:y val="2.0942206405276886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5834412450226595E-2"/>
              <c:y val="-3.6006670792854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8.8571045373044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519388243724668"/>
                  <c:h val="9.424088949767874E-2"/>
                </c:manualLayout>
              </c15:layout>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6899254379312211E-2"/>
              <c:y val="-3.93997825506218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031015086069427"/>
                  <c:h val="9.424088949767874E-2"/>
                </c:manualLayout>
              </c15:layout>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379850875862432E-2"/>
              <c:y val="-4.0888288405155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093029998483182"/>
                  <c:h val="9.9476494469772012E-2"/>
                </c:manualLayout>
              </c15:layout>
            </c:ext>
          </c:extLst>
        </c:dLbl>
      </c:pivotFmt>
    </c:pivotFmts>
    <c:plotArea>
      <c:layout/>
      <c:pieChart>
        <c:varyColors val="1"/>
        <c:ser>
          <c:idx val="0"/>
          <c:order val="0"/>
          <c:tx>
            <c:strRef>
              <c:f>'PIVOT TABLE'!$B$17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A96-459D-9427-F0A1EAA11FA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A96-459D-9427-F0A1EAA11FA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A96-459D-9427-F0A1EAA11FA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A96-459D-9427-F0A1EAA11FA8}"/>
              </c:ext>
            </c:extLst>
          </c:dPt>
          <c:dLbls>
            <c:dLbl>
              <c:idx val="0"/>
              <c:layout>
                <c:manualLayout>
                  <c:x val="3.5834412450226595E-2"/>
                  <c:y val="-3.60066707928547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96-459D-9427-F0A1EAA11FA8}"/>
                </c:ext>
              </c:extLst>
            </c:dLbl>
            <c:dLbl>
              <c:idx val="1"/>
              <c:layout>
                <c:manualLayout>
                  <c:x val="0"/>
                  <c:y val="8.857104537304441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519388243724668"/>
                      <c:h val="9.424088949767874E-2"/>
                    </c:manualLayout>
                  </c15:layout>
                </c:ext>
                <c:ext xmlns:c16="http://schemas.microsoft.com/office/drawing/2014/chart" uri="{C3380CC4-5D6E-409C-BE32-E72D297353CC}">
                  <c16:uniqueId val="{00000003-CA96-459D-9427-F0A1EAA11FA8}"/>
                </c:ext>
              </c:extLst>
            </c:dLbl>
            <c:dLbl>
              <c:idx val="2"/>
              <c:layout>
                <c:manualLayout>
                  <c:x val="-9.6899254379312211E-2"/>
                  <c:y val="-3.939978255062184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4031015086069427"/>
                      <c:h val="9.424088949767874E-2"/>
                    </c:manualLayout>
                  </c15:layout>
                </c:ext>
                <c:ext xmlns:c16="http://schemas.microsoft.com/office/drawing/2014/chart" uri="{C3380CC4-5D6E-409C-BE32-E72D297353CC}">
                  <c16:uniqueId val="{00000005-CA96-459D-9427-F0A1EAA11FA8}"/>
                </c:ext>
              </c:extLst>
            </c:dLbl>
            <c:dLbl>
              <c:idx val="3"/>
              <c:layout>
                <c:manualLayout>
                  <c:x val="-1.9379850875862432E-2"/>
                  <c:y val="-4.088828840515502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093029998483182"/>
                      <c:h val="9.9476494469772012E-2"/>
                    </c:manualLayout>
                  </c15:layout>
                </c:ext>
                <c:ext xmlns:c16="http://schemas.microsoft.com/office/drawing/2014/chart" uri="{C3380CC4-5D6E-409C-BE32-E72D297353CC}">
                  <c16:uniqueId val="{00000007-CA96-459D-9427-F0A1EAA11F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TABLE'!$A$18:$A$22</c:f>
              <c:strCache>
                <c:ptCount val="4"/>
                <c:pt idx="0">
                  <c:v>East</c:v>
                </c:pt>
                <c:pt idx="1">
                  <c:v>North</c:v>
                </c:pt>
                <c:pt idx="2">
                  <c:v>South</c:v>
                </c:pt>
                <c:pt idx="3">
                  <c:v>West</c:v>
                </c:pt>
              </c:strCache>
            </c:strRef>
          </c:cat>
          <c:val>
            <c:numRef>
              <c:f>'PIVOT TABLE'!$B$18:$B$22</c:f>
              <c:numCache>
                <c:formatCode>General</c:formatCode>
                <c:ptCount val="4"/>
                <c:pt idx="0">
                  <c:v>9082899.4100000001</c:v>
                </c:pt>
                <c:pt idx="1">
                  <c:v>11361424.909999995</c:v>
                </c:pt>
                <c:pt idx="2">
                  <c:v>10697644.859999999</c:v>
                </c:pt>
                <c:pt idx="3">
                  <c:v>12231015.820000002</c:v>
                </c:pt>
              </c:numCache>
            </c:numRef>
          </c:val>
          <c:extLst>
            <c:ext xmlns:c16="http://schemas.microsoft.com/office/drawing/2014/chart" uri="{C3380CC4-5D6E-409C-BE32-E72D297353CC}">
              <c16:uniqueId val="{00000008-CA96-459D-9427-F0A1EAA11F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TABLE!PivotTable6</c:name>
    <c:fmtId val="3"/>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u="none"/>
              <a:t>AVERAGE</a:t>
            </a:r>
            <a:r>
              <a:rPr lang="en-US" sz="900" b="1" u="none" baseline="0"/>
              <a:t> RATINGS PER PRODUCT</a:t>
            </a:r>
            <a:endParaRPr lang="en-US" sz="900" b="1" u="none"/>
          </a:p>
        </c:rich>
      </c:tx>
      <c:layout>
        <c:manualLayout>
          <c:xMode val="edge"/>
          <c:yMode val="edge"/>
          <c:x val="0.17510642524154341"/>
          <c:y val="3.0321949774658487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7543486632434"/>
          <c:y val="0.26222203305667874"/>
          <c:w val="0.86544125073796674"/>
          <c:h val="0.58389208811585114"/>
        </c:manualLayout>
      </c:layout>
      <c:lineChart>
        <c:grouping val="standard"/>
        <c:varyColors val="0"/>
        <c:ser>
          <c:idx val="0"/>
          <c:order val="0"/>
          <c:tx>
            <c:strRef>
              <c:f>'PIVOT TABLE'!$O$3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TABLE'!$N$4:$N$14</c:f>
              <c:strCache>
                <c:ptCount val="10"/>
                <c:pt idx="0">
                  <c:v>Chair</c:v>
                </c:pt>
                <c:pt idx="1">
                  <c:v>Headphones</c:v>
                </c:pt>
                <c:pt idx="2">
                  <c:v>Jacket</c:v>
                </c:pt>
                <c:pt idx="3">
                  <c:v>Jeans</c:v>
                </c:pt>
                <c:pt idx="4">
                  <c:v>Laptop</c:v>
                </c:pt>
                <c:pt idx="5">
                  <c:v>Mobile</c:v>
                </c:pt>
                <c:pt idx="6">
                  <c:v>Sofa</c:v>
                </c:pt>
                <c:pt idx="7">
                  <c:v>Table</c:v>
                </c:pt>
                <c:pt idx="8">
                  <c:v>Tablet</c:v>
                </c:pt>
                <c:pt idx="9">
                  <c:v>T-Shirt</c:v>
                </c:pt>
              </c:strCache>
            </c:strRef>
          </c:cat>
          <c:val>
            <c:numRef>
              <c:f>'PIVOT TABLE'!$O$4:$O$14</c:f>
              <c:numCache>
                <c:formatCode>General</c:formatCode>
                <c:ptCount val="10"/>
                <c:pt idx="0">
                  <c:v>3.3898305084745761</c:v>
                </c:pt>
                <c:pt idx="1">
                  <c:v>3.2903225806451615</c:v>
                </c:pt>
                <c:pt idx="2">
                  <c:v>2.7419354838709675</c:v>
                </c:pt>
                <c:pt idx="3">
                  <c:v>2.8269230769230771</c:v>
                </c:pt>
                <c:pt idx="4">
                  <c:v>2.9038461538461537</c:v>
                </c:pt>
                <c:pt idx="5">
                  <c:v>3.0833333333333335</c:v>
                </c:pt>
                <c:pt idx="6">
                  <c:v>2.9038461538461537</c:v>
                </c:pt>
                <c:pt idx="7">
                  <c:v>3.0172413793103448</c:v>
                </c:pt>
                <c:pt idx="8">
                  <c:v>3.3235294117647061</c:v>
                </c:pt>
                <c:pt idx="9">
                  <c:v>3.0384615384615383</c:v>
                </c:pt>
              </c:numCache>
            </c:numRef>
          </c:val>
          <c:smooth val="0"/>
          <c:extLst>
            <c:ext xmlns:c16="http://schemas.microsoft.com/office/drawing/2014/chart" uri="{C3380CC4-5D6E-409C-BE32-E72D297353CC}">
              <c16:uniqueId val="{00000000-889C-4907-89FE-9840246EFAE6}"/>
            </c:ext>
          </c:extLst>
        </c:ser>
        <c:dLbls>
          <c:showLegendKey val="0"/>
          <c:showVal val="0"/>
          <c:showCatName val="0"/>
          <c:showSerName val="0"/>
          <c:showPercent val="0"/>
          <c:showBubbleSize val="0"/>
        </c:dLbls>
        <c:marker val="1"/>
        <c:smooth val="0"/>
        <c:axId val="1684594752"/>
        <c:axId val="1684587072"/>
      </c:lineChart>
      <c:catAx>
        <c:axId val="1684594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87072"/>
        <c:crosses val="autoZero"/>
        <c:auto val="1"/>
        <c:lblAlgn val="ctr"/>
        <c:lblOffset val="100"/>
        <c:noMultiLvlLbl val="0"/>
      </c:catAx>
      <c:valAx>
        <c:axId val="1684587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9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[sales_dataset_20_column.xlsx]PIVOT TABLE!PivotTable5</c:name>
    <c:fmtId val="3"/>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AVERAGEOF</a:t>
            </a:r>
            <a:r>
              <a:rPr lang="en-US" sz="900" baseline="0"/>
              <a:t> SALES IN EACH CITIES</a:t>
            </a:r>
            <a:endParaRPr lang="en-US" sz="900"/>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3048643525339"/>
          <c:y val="0.17474392294756153"/>
          <c:w val="0.87061424955431266"/>
          <c:h val="0.57666400131691009"/>
        </c:manualLayout>
      </c:layout>
      <c:barChart>
        <c:barDir val="col"/>
        <c:grouping val="clustered"/>
        <c:varyColors val="0"/>
        <c:ser>
          <c:idx val="0"/>
          <c:order val="0"/>
          <c:tx>
            <c:strRef>
              <c:f>'PIVOT TABLE'!$G$13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TABLE'!$F$14:$F$22</c:f>
              <c:strCache>
                <c:ptCount val="8"/>
                <c:pt idx="0">
                  <c:v>Ahmedabad</c:v>
                </c:pt>
                <c:pt idx="1">
                  <c:v>Bangalore</c:v>
                </c:pt>
                <c:pt idx="2">
                  <c:v>Chennai</c:v>
                </c:pt>
                <c:pt idx="3">
                  <c:v>Delhi</c:v>
                </c:pt>
                <c:pt idx="4">
                  <c:v>Kochi</c:v>
                </c:pt>
                <c:pt idx="5">
                  <c:v>Kolkata</c:v>
                </c:pt>
                <c:pt idx="6">
                  <c:v>Mumbai</c:v>
                </c:pt>
                <c:pt idx="7">
                  <c:v>Pune</c:v>
                </c:pt>
              </c:strCache>
            </c:strRef>
          </c:cat>
          <c:val>
            <c:numRef>
              <c:f>'PIVOT TABLE'!$G$14:$G$22</c:f>
              <c:numCache>
                <c:formatCode>General</c:formatCode>
                <c:ptCount val="8"/>
                <c:pt idx="0">
                  <c:v>15165</c:v>
                </c:pt>
                <c:pt idx="1">
                  <c:v>18778</c:v>
                </c:pt>
                <c:pt idx="2">
                  <c:v>17986</c:v>
                </c:pt>
                <c:pt idx="3">
                  <c:v>19515</c:v>
                </c:pt>
                <c:pt idx="4">
                  <c:v>14813</c:v>
                </c:pt>
                <c:pt idx="5">
                  <c:v>17343</c:v>
                </c:pt>
                <c:pt idx="6">
                  <c:v>17329</c:v>
                </c:pt>
                <c:pt idx="7">
                  <c:v>13773</c:v>
                </c:pt>
              </c:numCache>
            </c:numRef>
          </c:val>
          <c:extLst>
            <c:ext xmlns:c16="http://schemas.microsoft.com/office/drawing/2014/chart" uri="{C3380CC4-5D6E-409C-BE32-E72D297353CC}">
              <c16:uniqueId val="{00000000-12A0-457C-8424-7911F94DA749}"/>
            </c:ext>
          </c:extLst>
        </c:ser>
        <c:dLbls>
          <c:showLegendKey val="0"/>
          <c:showVal val="0"/>
          <c:showCatName val="0"/>
          <c:showSerName val="0"/>
          <c:showPercent val="0"/>
          <c:showBubbleSize val="0"/>
        </c:dLbls>
        <c:gapWidth val="100"/>
        <c:overlap val="-24"/>
        <c:axId val="1088034336"/>
        <c:axId val="1088029056"/>
      </c:barChart>
      <c:catAx>
        <c:axId val="1088034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29056"/>
        <c:crosses val="autoZero"/>
        <c:auto val="1"/>
        <c:lblAlgn val="ctr"/>
        <c:lblOffset val="100"/>
        <c:noMultiLvlLbl val="0"/>
      </c:catAx>
      <c:valAx>
        <c:axId val="1088029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3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SUM OF SHIPPING COST FOR EACH CITIES</a:t>
            </a: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numLit>
              <c:formatCode>General</c:formatCode>
              <c:ptCount val="8"/>
              <c:pt idx="0">
                <c:v>1</c:v>
              </c:pt>
              <c:pt idx="1">
                <c:v>2</c:v>
              </c:pt>
              <c:pt idx="2">
                <c:v>3</c:v>
              </c:pt>
              <c:pt idx="3">
                <c:v>4</c:v>
              </c:pt>
              <c:pt idx="4">
                <c:v>5</c:v>
              </c:pt>
              <c:pt idx="5">
                <c:v>6</c:v>
              </c:pt>
              <c:pt idx="6">
                <c:v>7</c:v>
              </c:pt>
              <c:pt idx="7">
                <c:v>8</c:v>
              </c:pt>
            </c:numLit>
          </c:cat>
          <c:val>
            <c:numLit>
              <c:formatCode>General</c:formatCode>
              <c:ptCount val="8"/>
              <c:pt idx="0">
                <c:v>76744.88</c:v>
              </c:pt>
              <c:pt idx="1">
                <c:v>85490.77710144929</c:v>
              </c:pt>
              <c:pt idx="2">
                <c:v>103920.86954545454</c:v>
              </c:pt>
              <c:pt idx="3">
                <c:v>80793.981470588245</c:v>
              </c:pt>
              <c:pt idx="4">
                <c:v>77522.978490566049</c:v>
              </c:pt>
              <c:pt idx="5">
                <c:v>85160.571515151547</c:v>
              </c:pt>
              <c:pt idx="6">
                <c:v>85121.960447761172</c:v>
              </c:pt>
              <c:pt idx="7">
                <c:v>98823.835471698098</c:v>
              </c:pt>
            </c:numLit>
          </c:val>
          <c:smooth val="0"/>
          <c:extLst>
            <c:ext xmlns:c16="http://schemas.microsoft.com/office/drawing/2014/chart" uri="{C3380CC4-5D6E-409C-BE32-E72D297353CC}">
              <c16:uniqueId val="{00000000-31AA-4657-9D9E-9FEAE0968DC8}"/>
            </c:ext>
          </c:extLst>
        </c:ser>
        <c:dLbls>
          <c:showLegendKey val="0"/>
          <c:showVal val="0"/>
          <c:showCatName val="0"/>
          <c:showSerName val="0"/>
          <c:showPercent val="0"/>
          <c:showBubbleSize val="0"/>
        </c:dLbls>
        <c:marker val="1"/>
        <c:smooth val="0"/>
        <c:axId val="1323800784"/>
        <c:axId val="1212543328"/>
      </c:lineChart>
      <c:catAx>
        <c:axId val="1323800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2543328"/>
        <c:crosses val="autoZero"/>
        <c:auto val="1"/>
        <c:lblAlgn val="ctr"/>
        <c:lblOffset val="100"/>
        <c:noMultiLvlLbl val="0"/>
      </c:catAx>
      <c:valAx>
        <c:axId val="1212543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38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image" Target="../media/image10.svg"/><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121037</xdr:rowOff>
    </xdr:from>
    <xdr:to>
      <xdr:col>5</xdr:col>
      <xdr:colOff>99896</xdr:colOff>
      <xdr:row>43</xdr:row>
      <xdr:rowOff>76432</xdr:rowOff>
    </xdr:to>
    <xdr:graphicFrame macro="">
      <xdr:nvGraphicFramePr>
        <xdr:cNvPr id="2" name="Chart 1">
          <a:extLst>
            <a:ext uri="{FF2B5EF4-FFF2-40B4-BE49-F238E27FC236}">
              <a16:creationId xmlns:a16="http://schemas.microsoft.com/office/drawing/2014/main" id="{E4D8DB4F-0CB9-6C9C-3329-64C8DD1E5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817174</xdr:colOff>
      <xdr:row>29</xdr:row>
      <xdr:rowOff>3136</xdr:rowOff>
    </xdr:from>
    <xdr:to>
      <xdr:col>10</xdr:col>
      <xdr:colOff>1785937</xdr:colOff>
      <xdr:row>43</xdr:row>
      <xdr:rowOff>149031</xdr:rowOff>
    </xdr:to>
    <xdr:graphicFrame macro="">
      <xdr:nvGraphicFramePr>
        <xdr:cNvPr id="3" name="Chart 2">
          <a:extLst>
            <a:ext uri="{FF2B5EF4-FFF2-40B4-BE49-F238E27FC236}">
              <a16:creationId xmlns:a16="http://schemas.microsoft.com/office/drawing/2014/main" id="{149EC708-7189-8F03-8E15-A0B6120EF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618544</xdr:colOff>
      <xdr:row>29</xdr:row>
      <xdr:rowOff>14752</xdr:rowOff>
    </xdr:from>
    <xdr:to>
      <xdr:col>17</xdr:col>
      <xdr:colOff>544203</xdr:colOff>
      <xdr:row>43</xdr:row>
      <xdr:rowOff>160647</xdr:rowOff>
    </xdr:to>
    <xdr:graphicFrame macro="">
      <xdr:nvGraphicFramePr>
        <xdr:cNvPr id="4" name="Chart 3">
          <a:extLst>
            <a:ext uri="{FF2B5EF4-FFF2-40B4-BE49-F238E27FC236}">
              <a16:creationId xmlns:a16="http://schemas.microsoft.com/office/drawing/2014/main" id="{D5C9A9BE-7B64-7CCD-7DCE-2187DC5BC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46</xdr:row>
      <xdr:rowOff>36240</xdr:rowOff>
    </xdr:from>
    <xdr:to>
      <xdr:col>5</xdr:col>
      <xdr:colOff>99896</xdr:colOff>
      <xdr:row>60</xdr:row>
      <xdr:rowOff>182135</xdr:rowOff>
    </xdr:to>
    <xdr:graphicFrame macro="">
      <xdr:nvGraphicFramePr>
        <xdr:cNvPr id="5" name="Chart 4">
          <a:extLst>
            <a:ext uri="{FF2B5EF4-FFF2-40B4-BE49-F238E27FC236}">
              <a16:creationId xmlns:a16="http://schemas.microsoft.com/office/drawing/2014/main" id="{E211DD56-E0FB-135A-452C-67B47A889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923459</xdr:colOff>
      <xdr:row>47</xdr:row>
      <xdr:rowOff>83867</xdr:rowOff>
    </xdr:from>
    <xdr:to>
      <xdr:col>11</xdr:col>
      <xdr:colOff>82472</xdr:colOff>
      <xdr:row>62</xdr:row>
      <xdr:rowOff>39262</xdr:rowOff>
    </xdr:to>
    <xdr:graphicFrame macro="">
      <xdr:nvGraphicFramePr>
        <xdr:cNvPr id="6" name="Chart 5">
          <a:extLst>
            <a:ext uri="{FF2B5EF4-FFF2-40B4-BE49-F238E27FC236}">
              <a16:creationId xmlns:a16="http://schemas.microsoft.com/office/drawing/2014/main" id="{9A67BD36-37AB-0F21-9512-2D5EC75AA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612155</xdr:colOff>
      <xdr:row>47</xdr:row>
      <xdr:rowOff>50180</xdr:rowOff>
    </xdr:from>
    <xdr:to>
      <xdr:col>16</xdr:col>
      <xdr:colOff>723667</xdr:colOff>
      <xdr:row>62</xdr:row>
      <xdr:rowOff>5575</xdr:rowOff>
    </xdr:to>
    <xdr:graphicFrame macro="">
      <xdr:nvGraphicFramePr>
        <xdr:cNvPr id="7" name="Chart 6">
          <a:extLst>
            <a:ext uri="{FF2B5EF4-FFF2-40B4-BE49-F238E27FC236}">
              <a16:creationId xmlns:a16="http://schemas.microsoft.com/office/drawing/2014/main" id="{90C23BB6-B40D-13E2-524F-DF84903E9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133349</xdr:colOff>
      <xdr:row>29</xdr:row>
      <xdr:rowOff>42863</xdr:rowOff>
    </xdr:from>
    <xdr:to>
      <xdr:col>24</xdr:col>
      <xdr:colOff>1104899</xdr:colOff>
      <xdr:row>43</xdr:row>
      <xdr:rowOff>119063</xdr:rowOff>
    </xdr:to>
    <xdr:graphicFrame macro="">
      <xdr:nvGraphicFramePr>
        <xdr:cNvPr id="8" name="Chart 7">
          <a:extLst>
            <a:ext uri="{FF2B5EF4-FFF2-40B4-BE49-F238E27FC236}">
              <a16:creationId xmlns:a16="http://schemas.microsoft.com/office/drawing/2014/main" id="{724BEACD-B2AA-7DF3-B692-53BE097B2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72</xdr:row>
      <xdr:rowOff>0</xdr:rowOff>
    </xdr:from>
    <xdr:to>
      <xdr:col>3</xdr:col>
      <xdr:colOff>454644</xdr:colOff>
      <xdr:row>82</xdr:row>
      <xdr:rowOff>113138</xdr:rowOff>
    </xdr:to>
    <xdr:graphicFrame macro="">
      <xdr:nvGraphicFramePr>
        <xdr:cNvPr id="9" name="Chart 8">
          <a:extLst>
            <a:ext uri="{FF2B5EF4-FFF2-40B4-BE49-F238E27FC236}">
              <a16:creationId xmlns:a16="http://schemas.microsoft.com/office/drawing/2014/main" id="{98F64FAC-7CE7-4C75-B110-A516AA8BA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803671</xdr:colOff>
      <xdr:row>71</xdr:row>
      <xdr:rowOff>193476</xdr:rowOff>
    </xdr:from>
    <xdr:to>
      <xdr:col>6</xdr:col>
      <xdr:colOff>1332011</xdr:colOff>
      <xdr:row>82</xdr:row>
      <xdr:rowOff>52089</xdr:rowOff>
    </xdr:to>
    <xdr:graphicFrame macro="">
      <xdr:nvGraphicFramePr>
        <xdr:cNvPr id="10" name="Chart 9">
          <a:extLst>
            <a:ext uri="{FF2B5EF4-FFF2-40B4-BE49-F238E27FC236}">
              <a16:creationId xmlns:a16="http://schemas.microsoft.com/office/drawing/2014/main" id="{91944EB8-B6C0-4DC1-B290-D6D802013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9526</xdr:colOff>
      <xdr:row>0</xdr:row>
      <xdr:rowOff>9525</xdr:rowOff>
    </xdr:from>
    <xdr:to>
      <xdr:col>20</xdr:col>
      <xdr:colOff>447676</xdr:colOff>
      <xdr:row>3</xdr:row>
      <xdr:rowOff>47625</xdr:rowOff>
    </xdr:to>
    <xdr:sp macro="" textlink="">
      <xdr:nvSpPr>
        <xdr:cNvPr id="2" name="Rectangle 1">
          <a:extLst>
            <a:ext uri="{FF2B5EF4-FFF2-40B4-BE49-F238E27FC236}">
              <a16:creationId xmlns:a16="http://schemas.microsoft.com/office/drawing/2014/main" id="{5FD1FB7E-35F2-01E5-02D0-FB92D6B369F7}"/>
            </a:ext>
          </a:extLst>
        </xdr:cNvPr>
        <xdr:cNvSpPr/>
      </xdr:nvSpPr>
      <xdr:spPr>
        <a:xfrm>
          <a:off x="9526" y="9525"/>
          <a:ext cx="12630150" cy="6096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3200">
              <a:latin typeface="Aharoni" panose="02010803020104030203" pitchFamily="2" charset="-79"/>
              <a:cs typeface="Aharoni" panose="02010803020104030203" pitchFamily="2" charset="-79"/>
            </a:rPr>
            <a:t>SALES</a:t>
          </a:r>
          <a:r>
            <a:rPr lang="en-IN" sz="3200" baseline="0">
              <a:latin typeface="Aharoni" panose="02010803020104030203" pitchFamily="2" charset="-79"/>
              <a:cs typeface="Aharoni" panose="02010803020104030203" pitchFamily="2" charset="-79"/>
            </a:rPr>
            <a:t> DATA ANALYSIS</a:t>
          </a:r>
        </a:p>
        <a:p>
          <a:pPr algn="l"/>
          <a:endParaRPr lang="en-IN" sz="1100"/>
        </a:p>
      </xdr:txBody>
    </xdr:sp>
    <xdr:clientData/>
  </xdr:twoCellAnchor>
  <xdr:twoCellAnchor>
    <xdr:from>
      <xdr:col>3</xdr:col>
      <xdr:colOff>276225</xdr:colOff>
      <xdr:row>4</xdr:row>
      <xdr:rowOff>19050</xdr:rowOff>
    </xdr:from>
    <xdr:to>
      <xdr:col>6</xdr:col>
      <xdr:colOff>409575</xdr:colOff>
      <xdr:row>7</xdr:row>
      <xdr:rowOff>180975</xdr:rowOff>
    </xdr:to>
    <xdr:grpSp>
      <xdr:nvGrpSpPr>
        <xdr:cNvPr id="11" name="Group 10">
          <a:extLst>
            <a:ext uri="{FF2B5EF4-FFF2-40B4-BE49-F238E27FC236}">
              <a16:creationId xmlns:a16="http://schemas.microsoft.com/office/drawing/2014/main" id="{5F62DB6A-1A01-FADE-693A-EADA076F6343}"/>
            </a:ext>
          </a:extLst>
        </xdr:cNvPr>
        <xdr:cNvGrpSpPr/>
      </xdr:nvGrpSpPr>
      <xdr:grpSpPr>
        <a:xfrm>
          <a:off x="2105025" y="781050"/>
          <a:ext cx="1962150" cy="733425"/>
          <a:chOff x="19050" y="942975"/>
          <a:chExt cx="1962150" cy="733425"/>
        </a:xfrm>
      </xdr:grpSpPr>
      <xdr:sp macro="" textlink="">
        <xdr:nvSpPr>
          <xdr:cNvPr id="3" name="Rectangle 2">
            <a:extLst>
              <a:ext uri="{FF2B5EF4-FFF2-40B4-BE49-F238E27FC236}">
                <a16:creationId xmlns:a16="http://schemas.microsoft.com/office/drawing/2014/main" id="{861E2389-7CD6-8476-FB97-62C52C0B27B0}"/>
              </a:ext>
            </a:extLst>
          </xdr:cNvPr>
          <xdr:cNvSpPr/>
        </xdr:nvSpPr>
        <xdr:spPr>
          <a:xfrm>
            <a:off x="19050" y="942975"/>
            <a:ext cx="1962150" cy="7334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BF237AEC-BBE5-6230-6BED-EA2EF12F238A}"/>
              </a:ext>
            </a:extLst>
          </xdr:cNvPr>
          <xdr:cNvSpPr/>
        </xdr:nvSpPr>
        <xdr:spPr>
          <a:xfrm>
            <a:off x="590550" y="1028699"/>
            <a:ext cx="1200149" cy="25717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900" b="0" cap="none" spc="0">
                <a:ln w="0"/>
                <a:solidFill>
                  <a:schemeClr val="tx1"/>
                </a:solidFill>
                <a:effectLst>
                  <a:outerShdw blurRad="38100" dist="19050" dir="2700000" algn="tl" rotWithShape="0">
                    <a:schemeClr val="dk1">
                      <a:alpha val="40000"/>
                    </a:schemeClr>
                  </a:outerShdw>
                </a:effectLst>
              </a:rPr>
              <a:t>SUM OF DISCOUNTS</a:t>
            </a:r>
          </a:p>
          <a:p>
            <a:pPr algn="ctr"/>
            <a:endParaRPr lang="en-IN" sz="900" b="0" cap="none" spc="0">
              <a:ln w="0"/>
              <a:solidFill>
                <a:schemeClr val="tx1"/>
              </a:solidFill>
              <a:effectLst>
                <a:outerShdw blurRad="38100" dist="19050" dir="2700000" algn="tl" rotWithShape="0">
                  <a:schemeClr val="dk1">
                    <a:alpha val="40000"/>
                  </a:schemeClr>
                </a:outerShdw>
              </a:effectLst>
            </a:endParaRPr>
          </a:p>
        </xdr:txBody>
      </xdr:sp>
      <xdr:sp macro="" textlink="'PIVOT TABLE'!T6">
        <xdr:nvSpPr>
          <xdr:cNvPr id="5" name="Rectangle 4">
            <a:extLst>
              <a:ext uri="{FF2B5EF4-FFF2-40B4-BE49-F238E27FC236}">
                <a16:creationId xmlns:a16="http://schemas.microsoft.com/office/drawing/2014/main" id="{B69E1ADF-3F49-0054-9DF2-81E78C6C27D6}"/>
              </a:ext>
            </a:extLst>
          </xdr:cNvPr>
          <xdr:cNvSpPr/>
        </xdr:nvSpPr>
        <xdr:spPr>
          <a:xfrm>
            <a:off x="628650" y="1362075"/>
            <a:ext cx="1133475" cy="219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B9D8D209-78FF-476B-96C9-7B9620E35D5F}"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5583146.8</a:t>
            </a:fld>
            <a:endParaRPr lang="en-IN"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0</xdr:col>
      <xdr:colOff>38100</xdr:colOff>
      <xdr:row>4</xdr:row>
      <xdr:rowOff>9525</xdr:rowOff>
    </xdr:from>
    <xdr:to>
      <xdr:col>3</xdr:col>
      <xdr:colOff>190500</xdr:colOff>
      <xdr:row>7</xdr:row>
      <xdr:rowOff>171450</xdr:rowOff>
    </xdr:to>
    <xdr:grpSp>
      <xdr:nvGrpSpPr>
        <xdr:cNvPr id="12" name="Group 11">
          <a:extLst>
            <a:ext uri="{FF2B5EF4-FFF2-40B4-BE49-F238E27FC236}">
              <a16:creationId xmlns:a16="http://schemas.microsoft.com/office/drawing/2014/main" id="{7C90D78C-5A48-8013-099E-DA59FE7A8EDC}"/>
            </a:ext>
          </a:extLst>
        </xdr:cNvPr>
        <xdr:cNvGrpSpPr/>
      </xdr:nvGrpSpPr>
      <xdr:grpSpPr>
        <a:xfrm>
          <a:off x="38100" y="771525"/>
          <a:ext cx="1981200" cy="733425"/>
          <a:chOff x="0" y="942975"/>
          <a:chExt cx="1981200" cy="733425"/>
        </a:xfrm>
      </xdr:grpSpPr>
      <xdr:sp macro="" textlink="">
        <xdr:nvSpPr>
          <xdr:cNvPr id="13" name="Rectangle 12">
            <a:extLst>
              <a:ext uri="{FF2B5EF4-FFF2-40B4-BE49-F238E27FC236}">
                <a16:creationId xmlns:a16="http://schemas.microsoft.com/office/drawing/2014/main" id="{17E26B60-E592-C2B5-9BE5-FCC26E46BA67}"/>
              </a:ext>
            </a:extLst>
          </xdr:cNvPr>
          <xdr:cNvSpPr/>
        </xdr:nvSpPr>
        <xdr:spPr>
          <a:xfrm>
            <a:off x="19050" y="942975"/>
            <a:ext cx="1962150" cy="7334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D9DB4D10-26C2-1A07-3D42-9509DA46BA12}"/>
              </a:ext>
            </a:extLst>
          </xdr:cNvPr>
          <xdr:cNvSpPr/>
        </xdr:nvSpPr>
        <xdr:spPr>
          <a:xfrm>
            <a:off x="590550" y="1028699"/>
            <a:ext cx="1200149" cy="25717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900" b="0" cap="none" spc="0">
                <a:ln w="0"/>
                <a:solidFill>
                  <a:schemeClr val="tx1"/>
                </a:solidFill>
                <a:effectLst>
                  <a:outerShdw blurRad="38100" dist="19050" dir="2700000" algn="tl" rotWithShape="0">
                    <a:schemeClr val="dk1">
                      <a:alpha val="40000"/>
                    </a:schemeClr>
                  </a:outerShdw>
                </a:effectLst>
              </a:rPr>
              <a:t>SUM OF UNIT PRICE</a:t>
            </a:r>
          </a:p>
        </xdr:txBody>
      </xdr:sp>
      <xdr:sp macro="" textlink="'PIVOT TABLE'!R6">
        <xdr:nvSpPr>
          <xdr:cNvPr id="15" name="Rectangle 14">
            <a:extLst>
              <a:ext uri="{FF2B5EF4-FFF2-40B4-BE49-F238E27FC236}">
                <a16:creationId xmlns:a16="http://schemas.microsoft.com/office/drawing/2014/main" id="{6C92E97D-9F98-2451-B54B-7D7FB9DFD33C}"/>
              </a:ext>
            </a:extLst>
          </xdr:cNvPr>
          <xdr:cNvSpPr/>
        </xdr:nvSpPr>
        <xdr:spPr>
          <a:xfrm>
            <a:off x="628650" y="1362075"/>
            <a:ext cx="1133475" cy="219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B2ED765E-384B-4E25-A9E2-4A7DF14BA4AE}"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15169660</a:t>
            </a:fld>
            <a:endParaRPr lang="en-IN" sz="1100" b="0" cap="none" spc="0">
              <a:ln w="0"/>
              <a:solidFill>
                <a:schemeClr val="tx1"/>
              </a:solidFill>
              <a:effectLst>
                <a:outerShdw blurRad="38100" dist="19050" dir="2700000" algn="tl" rotWithShape="0">
                  <a:schemeClr val="dk1">
                    <a:alpha val="40000"/>
                  </a:schemeClr>
                </a:outerShdw>
              </a:effectLst>
            </a:endParaRPr>
          </a:p>
        </xdr:txBody>
      </xdr:sp>
      <xdr:pic>
        <xdr:nvPicPr>
          <xdr:cNvPr id="16" name="Graphic 15" descr="Box with solid fill">
            <a:extLst>
              <a:ext uri="{FF2B5EF4-FFF2-40B4-BE49-F238E27FC236}">
                <a16:creationId xmlns:a16="http://schemas.microsoft.com/office/drawing/2014/main" id="{30667441-222A-18EC-4484-B479861EB1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038226"/>
            <a:ext cx="609600" cy="609600"/>
          </a:xfrm>
          <a:prstGeom prst="rect">
            <a:avLst/>
          </a:prstGeom>
        </xdr:spPr>
      </xdr:pic>
    </xdr:grpSp>
    <xdr:clientData/>
  </xdr:twoCellAnchor>
  <xdr:twoCellAnchor>
    <xdr:from>
      <xdr:col>6</xdr:col>
      <xdr:colOff>523875</xdr:colOff>
      <xdr:row>4</xdr:row>
      <xdr:rowOff>19050</xdr:rowOff>
    </xdr:from>
    <xdr:to>
      <xdr:col>10</xdr:col>
      <xdr:colOff>47625</xdr:colOff>
      <xdr:row>7</xdr:row>
      <xdr:rowOff>180975</xdr:rowOff>
    </xdr:to>
    <xdr:grpSp>
      <xdr:nvGrpSpPr>
        <xdr:cNvPr id="22" name="Group 21">
          <a:extLst>
            <a:ext uri="{FF2B5EF4-FFF2-40B4-BE49-F238E27FC236}">
              <a16:creationId xmlns:a16="http://schemas.microsoft.com/office/drawing/2014/main" id="{63B2869B-C0E0-4AF7-A98F-CEA16AFEECBA}"/>
            </a:ext>
          </a:extLst>
        </xdr:cNvPr>
        <xdr:cNvGrpSpPr/>
      </xdr:nvGrpSpPr>
      <xdr:grpSpPr>
        <a:xfrm>
          <a:off x="4181475" y="781050"/>
          <a:ext cx="1962150" cy="733425"/>
          <a:chOff x="19050" y="942975"/>
          <a:chExt cx="1962150" cy="733425"/>
        </a:xfrm>
      </xdr:grpSpPr>
      <xdr:sp macro="" textlink="">
        <xdr:nvSpPr>
          <xdr:cNvPr id="23" name="Rectangle 22">
            <a:extLst>
              <a:ext uri="{FF2B5EF4-FFF2-40B4-BE49-F238E27FC236}">
                <a16:creationId xmlns:a16="http://schemas.microsoft.com/office/drawing/2014/main" id="{78510EBF-8BD6-A1F4-70FE-80C5D67B0B61}"/>
              </a:ext>
            </a:extLst>
          </xdr:cNvPr>
          <xdr:cNvSpPr/>
        </xdr:nvSpPr>
        <xdr:spPr>
          <a:xfrm>
            <a:off x="19050" y="942975"/>
            <a:ext cx="1962150" cy="7334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24" name="Rectangle 23">
            <a:extLst>
              <a:ext uri="{FF2B5EF4-FFF2-40B4-BE49-F238E27FC236}">
                <a16:creationId xmlns:a16="http://schemas.microsoft.com/office/drawing/2014/main" id="{D7032472-2EA0-3D6F-A3B4-8E5F93B27AE1}"/>
              </a:ext>
            </a:extLst>
          </xdr:cNvPr>
          <xdr:cNvSpPr/>
        </xdr:nvSpPr>
        <xdr:spPr>
          <a:xfrm>
            <a:off x="590550" y="1028699"/>
            <a:ext cx="1200149" cy="25717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800" b="0" cap="none" spc="0">
                <a:ln w="0"/>
                <a:solidFill>
                  <a:schemeClr val="tx1"/>
                </a:solidFill>
                <a:effectLst>
                  <a:outerShdw blurRad="38100" dist="19050" dir="2700000" algn="tl" rotWithShape="0">
                    <a:schemeClr val="dk1">
                      <a:alpha val="40000"/>
                    </a:schemeClr>
                  </a:outerShdw>
                </a:effectLst>
              </a:rPr>
              <a:t>SUM OF OVERALL</a:t>
            </a:r>
            <a:r>
              <a:rPr lang="en-IN" sz="800" b="0" cap="none" spc="0" baseline="0">
                <a:ln w="0"/>
                <a:solidFill>
                  <a:schemeClr val="tx1"/>
                </a:solidFill>
                <a:effectLst>
                  <a:outerShdw blurRad="38100" dist="19050" dir="2700000" algn="tl" rotWithShape="0">
                    <a:schemeClr val="dk1">
                      <a:alpha val="40000"/>
                    </a:schemeClr>
                  </a:outerShdw>
                </a:effectLst>
              </a:rPr>
              <a:t> SALES</a:t>
            </a:r>
            <a:endParaRPr lang="en-IN" sz="800" b="0" cap="none" spc="0">
              <a:ln w="0"/>
              <a:solidFill>
                <a:schemeClr val="tx1"/>
              </a:solidFill>
              <a:effectLst>
                <a:outerShdw blurRad="38100" dist="19050" dir="2700000" algn="tl" rotWithShape="0">
                  <a:schemeClr val="dk1">
                    <a:alpha val="40000"/>
                  </a:schemeClr>
                </a:outerShdw>
              </a:effectLst>
            </a:endParaRPr>
          </a:p>
        </xdr:txBody>
      </xdr:sp>
      <xdr:sp macro="" textlink="'PIVOT TABLE'!V6">
        <xdr:nvSpPr>
          <xdr:cNvPr id="25" name="Rectangle 24">
            <a:extLst>
              <a:ext uri="{FF2B5EF4-FFF2-40B4-BE49-F238E27FC236}">
                <a16:creationId xmlns:a16="http://schemas.microsoft.com/office/drawing/2014/main" id="{E91F1DBC-81AA-8D28-02B0-DC4570682AFC}"/>
              </a:ext>
            </a:extLst>
          </xdr:cNvPr>
          <xdr:cNvSpPr/>
        </xdr:nvSpPr>
        <xdr:spPr>
          <a:xfrm>
            <a:off x="628650" y="1362075"/>
            <a:ext cx="1133475" cy="219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6AF33765-EB21-446F-A886-42C44D51CBFA}"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43372985</a:t>
            </a:fld>
            <a:endParaRPr lang="en-IN"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10</xdr:col>
      <xdr:colOff>171450</xdr:colOff>
      <xdr:row>4</xdr:row>
      <xdr:rowOff>19050</xdr:rowOff>
    </xdr:from>
    <xdr:to>
      <xdr:col>13</xdr:col>
      <xdr:colOff>400050</xdr:colOff>
      <xdr:row>7</xdr:row>
      <xdr:rowOff>180975</xdr:rowOff>
    </xdr:to>
    <xdr:grpSp>
      <xdr:nvGrpSpPr>
        <xdr:cNvPr id="27" name="Group 26">
          <a:extLst>
            <a:ext uri="{FF2B5EF4-FFF2-40B4-BE49-F238E27FC236}">
              <a16:creationId xmlns:a16="http://schemas.microsoft.com/office/drawing/2014/main" id="{57F26FDD-D953-4682-8C19-2A61FC590C8E}"/>
            </a:ext>
          </a:extLst>
        </xdr:cNvPr>
        <xdr:cNvGrpSpPr/>
      </xdr:nvGrpSpPr>
      <xdr:grpSpPr>
        <a:xfrm>
          <a:off x="6267450" y="781050"/>
          <a:ext cx="2057400" cy="733425"/>
          <a:chOff x="19050" y="942975"/>
          <a:chExt cx="1962150" cy="733425"/>
        </a:xfrm>
      </xdr:grpSpPr>
      <xdr:sp macro="" textlink="">
        <xdr:nvSpPr>
          <xdr:cNvPr id="28" name="Rectangle 27">
            <a:extLst>
              <a:ext uri="{FF2B5EF4-FFF2-40B4-BE49-F238E27FC236}">
                <a16:creationId xmlns:a16="http://schemas.microsoft.com/office/drawing/2014/main" id="{16CE346A-084C-438A-EA95-60F54FD20807}"/>
              </a:ext>
            </a:extLst>
          </xdr:cNvPr>
          <xdr:cNvSpPr/>
        </xdr:nvSpPr>
        <xdr:spPr>
          <a:xfrm>
            <a:off x="19050" y="942975"/>
            <a:ext cx="1962150" cy="7334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29" name="Rectangle 28">
            <a:extLst>
              <a:ext uri="{FF2B5EF4-FFF2-40B4-BE49-F238E27FC236}">
                <a16:creationId xmlns:a16="http://schemas.microsoft.com/office/drawing/2014/main" id="{7C160148-C172-DD06-4F0A-093D918994CB}"/>
              </a:ext>
            </a:extLst>
          </xdr:cNvPr>
          <xdr:cNvSpPr/>
        </xdr:nvSpPr>
        <xdr:spPr>
          <a:xfrm>
            <a:off x="590550" y="1000125"/>
            <a:ext cx="1200149" cy="32385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700" b="0" cap="none" spc="0" baseline="0">
                <a:ln w="0"/>
                <a:solidFill>
                  <a:schemeClr val="tx1"/>
                </a:solidFill>
                <a:effectLst>
                  <a:outerShdw blurRad="38100" dist="19050" dir="2700000" algn="tl" rotWithShape="0">
                    <a:schemeClr val="dk1">
                      <a:alpha val="40000"/>
                    </a:schemeClr>
                  </a:outerShdw>
                </a:effectLst>
              </a:rPr>
              <a:t>AVERAGE SALES FOR EACH CITIES</a:t>
            </a:r>
          </a:p>
        </xdr:txBody>
      </xdr:sp>
      <xdr:sp macro="" textlink="'PIVOT TABLE'!AD6">
        <xdr:nvSpPr>
          <xdr:cNvPr id="30" name="Rectangle 29">
            <a:extLst>
              <a:ext uri="{FF2B5EF4-FFF2-40B4-BE49-F238E27FC236}">
                <a16:creationId xmlns:a16="http://schemas.microsoft.com/office/drawing/2014/main" id="{D1FA289B-2641-D5F8-1323-25A342D6AED0}"/>
              </a:ext>
            </a:extLst>
          </xdr:cNvPr>
          <xdr:cNvSpPr/>
        </xdr:nvSpPr>
        <xdr:spPr>
          <a:xfrm>
            <a:off x="628650" y="1362075"/>
            <a:ext cx="1133475" cy="219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14FFBC28-4066-41E6-8B83-2FB546FDABFB}"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86745.97</a:t>
            </a:fld>
            <a:endParaRPr lang="en-IN" sz="1100" b="0" cap="none" spc="0">
              <a:ln w="0"/>
              <a:solidFill>
                <a:schemeClr val="tx1"/>
              </a:solidFill>
              <a:effectLst>
                <a:outerShdw blurRad="38100" dist="19050" dir="2700000" algn="tl" rotWithShape="0">
                  <a:schemeClr val="dk1">
                    <a:alpha val="40000"/>
                  </a:schemeClr>
                </a:outerShdw>
              </a:effectLst>
            </a:endParaRPr>
          </a:p>
        </xdr:txBody>
      </xdr:sp>
      <xdr:pic>
        <xdr:nvPicPr>
          <xdr:cNvPr id="31" name="Graphic 30" descr="Topography Map with solid fill">
            <a:extLst>
              <a:ext uri="{FF2B5EF4-FFF2-40B4-BE49-F238E27FC236}">
                <a16:creationId xmlns:a16="http://schemas.microsoft.com/office/drawing/2014/main" id="{204EAB50-8B7F-361D-9D41-EE7869DCB3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95251" y="1085852"/>
            <a:ext cx="447674" cy="447674"/>
          </a:xfrm>
          <a:prstGeom prst="rect">
            <a:avLst/>
          </a:prstGeom>
        </xdr:spPr>
      </xdr:pic>
    </xdr:grpSp>
    <xdr:clientData/>
  </xdr:twoCellAnchor>
  <xdr:twoCellAnchor editAs="oneCell">
    <xdr:from>
      <xdr:col>3</xdr:col>
      <xdr:colOff>238125</xdr:colOff>
      <xdr:row>4</xdr:row>
      <xdr:rowOff>114300</xdr:rowOff>
    </xdr:from>
    <xdr:to>
      <xdr:col>4</xdr:col>
      <xdr:colOff>238210</xdr:colOff>
      <xdr:row>7</xdr:row>
      <xdr:rowOff>152485</xdr:rowOff>
    </xdr:to>
    <xdr:pic>
      <xdr:nvPicPr>
        <xdr:cNvPr id="32" name="Picture 31" descr="Bar graph with upward trend with solid fill">
          <a:extLst>
            <a:ext uri="{FF2B5EF4-FFF2-40B4-BE49-F238E27FC236}">
              <a16:creationId xmlns:a16="http://schemas.microsoft.com/office/drawing/2014/main" id="{B9DF90FA-E569-EDCD-E019-A64896087D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066925" y="876300"/>
          <a:ext cx="609685" cy="609685"/>
        </a:xfrm>
        <a:prstGeom prst="rect">
          <a:avLst/>
        </a:prstGeom>
      </xdr:spPr>
    </xdr:pic>
    <xdr:clientData/>
  </xdr:twoCellAnchor>
  <xdr:twoCellAnchor editAs="oneCell">
    <xdr:from>
      <xdr:col>6</xdr:col>
      <xdr:colOff>504825</xdr:colOff>
      <xdr:row>4</xdr:row>
      <xdr:rowOff>95250</xdr:rowOff>
    </xdr:from>
    <xdr:to>
      <xdr:col>7</xdr:col>
      <xdr:colOff>504910</xdr:colOff>
      <xdr:row>7</xdr:row>
      <xdr:rowOff>133435</xdr:rowOff>
    </xdr:to>
    <xdr:pic>
      <xdr:nvPicPr>
        <xdr:cNvPr id="33" name="Picture 32" descr="Search Inventory with solid fill">
          <a:extLst>
            <a:ext uri="{FF2B5EF4-FFF2-40B4-BE49-F238E27FC236}">
              <a16:creationId xmlns:a16="http://schemas.microsoft.com/office/drawing/2014/main" id="{CBD56DD6-637E-DD5A-E92E-0BC2715C66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162425" y="857250"/>
          <a:ext cx="609685" cy="609685"/>
        </a:xfrm>
        <a:prstGeom prst="rect">
          <a:avLst/>
        </a:prstGeom>
      </xdr:spPr>
    </xdr:pic>
    <xdr:clientData/>
  </xdr:twoCellAnchor>
  <xdr:twoCellAnchor>
    <xdr:from>
      <xdr:col>13</xdr:col>
      <xdr:colOff>495300</xdr:colOff>
      <xdr:row>4</xdr:row>
      <xdr:rowOff>19050</xdr:rowOff>
    </xdr:from>
    <xdr:to>
      <xdr:col>17</xdr:col>
      <xdr:colOff>28575</xdr:colOff>
      <xdr:row>7</xdr:row>
      <xdr:rowOff>180975</xdr:rowOff>
    </xdr:to>
    <xdr:grpSp>
      <xdr:nvGrpSpPr>
        <xdr:cNvPr id="34" name="Group 33">
          <a:extLst>
            <a:ext uri="{FF2B5EF4-FFF2-40B4-BE49-F238E27FC236}">
              <a16:creationId xmlns:a16="http://schemas.microsoft.com/office/drawing/2014/main" id="{C93D9F36-5105-44E0-8141-5D98F3B0735C}"/>
            </a:ext>
          </a:extLst>
        </xdr:cNvPr>
        <xdr:cNvGrpSpPr/>
      </xdr:nvGrpSpPr>
      <xdr:grpSpPr>
        <a:xfrm>
          <a:off x="8420100" y="781050"/>
          <a:ext cx="1971675" cy="733425"/>
          <a:chOff x="9525" y="942975"/>
          <a:chExt cx="1971675" cy="733425"/>
        </a:xfrm>
      </xdr:grpSpPr>
      <xdr:sp macro="" textlink="">
        <xdr:nvSpPr>
          <xdr:cNvPr id="35" name="Rectangle 34">
            <a:extLst>
              <a:ext uri="{FF2B5EF4-FFF2-40B4-BE49-F238E27FC236}">
                <a16:creationId xmlns:a16="http://schemas.microsoft.com/office/drawing/2014/main" id="{AA2C5446-1192-98AB-93B9-1C28B3EF93F0}"/>
              </a:ext>
            </a:extLst>
          </xdr:cNvPr>
          <xdr:cNvSpPr/>
        </xdr:nvSpPr>
        <xdr:spPr>
          <a:xfrm>
            <a:off x="19050" y="942975"/>
            <a:ext cx="1962150" cy="7334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36" name="Rectangle 35">
            <a:extLst>
              <a:ext uri="{FF2B5EF4-FFF2-40B4-BE49-F238E27FC236}">
                <a16:creationId xmlns:a16="http://schemas.microsoft.com/office/drawing/2014/main" id="{2C966EBC-7A73-F639-86A6-253F7DD9312F}"/>
              </a:ext>
            </a:extLst>
          </xdr:cNvPr>
          <xdr:cNvSpPr/>
        </xdr:nvSpPr>
        <xdr:spPr>
          <a:xfrm>
            <a:off x="590550" y="1000125"/>
            <a:ext cx="1200149" cy="32385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700" b="0" cap="none" spc="0">
                <a:ln w="0"/>
                <a:solidFill>
                  <a:schemeClr val="tx1"/>
                </a:solidFill>
                <a:effectLst>
                  <a:outerShdw blurRad="38100" dist="19050" dir="2700000" algn="tl" rotWithShape="0">
                    <a:schemeClr val="dk1">
                      <a:alpha val="40000"/>
                    </a:schemeClr>
                  </a:outerShdw>
                </a:effectLst>
              </a:rPr>
              <a:t>SUM OF </a:t>
            </a:r>
            <a:r>
              <a:rPr lang="en-IN" sz="700" b="0" cap="none" spc="0" baseline="0">
                <a:ln w="0"/>
                <a:solidFill>
                  <a:schemeClr val="tx1"/>
                </a:solidFill>
                <a:effectLst>
                  <a:outerShdw blurRad="38100" dist="19050" dir="2700000" algn="tl" rotWithShape="0">
                    <a:schemeClr val="dk1">
                      <a:alpha val="40000"/>
                    </a:schemeClr>
                  </a:outerShdw>
                </a:effectLst>
              </a:rPr>
              <a:t>SHIPPING COST</a:t>
            </a:r>
          </a:p>
          <a:p>
            <a:pPr algn="ctr"/>
            <a:r>
              <a:rPr lang="en-IN" sz="700" b="0" cap="none" spc="0" baseline="0">
                <a:ln w="0"/>
                <a:solidFill>
                  <a:schemeClr val="tx1"/>
                </a:solidFill>
                <a:effectLst>
                  <a:outerShdw blurRad="38100" dist="19050" dir="2700000" algn="tl" rotWithShape="0">
                    <a:schemeClr val="dk1">
                      <a:alpha val="40000"/>
                    </a:schemeClr>
                  </a:outerShdw>
                </a:effectLst>
              </a:rPr>
              <a:t>FOR EACH CITIES</a:t>
            </a:r>
            <a:endParaRPr lang="en-IN" sz="800" b="0" cap="none" spc="0">
              <a:ln w="0"/>
              <a:solidFill>
                <a:schemeClr val="tx1"/>
              </a:solidFill>
              <a:effectLst>
                <a:outerShdw blurRad="38100" dist="19050" dir="2700000" algn="tl" rotWithShape="0">
                  <a:schemeClr val="dk1">
                    <a:alpha val="40000"/>
                  </a:schemeClr>
                </a:outerShdw>
              </a:effectLst>
            </a:endParaRPr>
          </a:p>
        </xdr:txBody>
      </xdr:sp>
      <xdr:sp macro="" textlink="'PIVOT TABLE'!Y6">
        <xdr:nvSpPr>
          <xdr:cNvPr id="37" name="Rectangle 36">
            <a:extLst>
              <a:ext uri="{FF2B5EF4-FFF2-40B4-BE49-F238E27FC236}">
                <a16:creationId xmlns:a16="http://schemas.microsoft.com/office/drawing/2014/main" id="{7234F18C-7E0F-CB6A-BE5D-822D508BA8E1}"/>
              </a:ext>
            </a:extLst>
          </xdr:cNvPr>
          <xdr:cNvSpPr/>
        </xdr:nvSpPr>
        <xdr:spPr>
          <a:xfrm>
            <a:off x="628650" y="1362075"/>
            <a:ext cx="1133475" cy="219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757AA909-E69A-453D-9ADC-4400BC06DB0D}"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134702</a:t>
            </a:fld>
            <a:endParaRPr lang="en-IN" sz="1100" b="0" cap="none" spc="0">
              <a:ln w="0"/>
              <a:solidFill>
                <a:schemeClr val="tx1"/>
              </a:solidFill>
              <a:effectLst>
                <a:outerShdw blurRad="38100" dist="19050" dir="2700000" algn="tl" rotWithShape="0">
                  <a:schemeClr val="dk1">
                    <a:alpha val="40000"/>
                  </a:schemeClr>
                </a:outerShdw>
              </a:effectLst>
            </a:endParaRPr>
          </a:p>
        </xdr:txBody>
      </xdr:sp>
      <xdr:pic>
        <xdr:nvPicPr>
          <xdr:cNvPr id="38" name="Graphic 37" descr="Delivery with solid fill">
            <a:extLst>
              <a:ext uri="{FF2B5EF4-FFF2-40B4-BE49-F238E27FC236}">
                <a16:creationId xmlns:a16="http://schemas.microsoft.com/office/drawing/2014/main" id="{B48DC5C3-2100-C8E9-01CE-EF2DF984536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525" y="1038226"/>
            <a:ext cx="590550" cy="590550"/>
          </a:xfrm>
          <a:prstGeom prst="rect">
            <a:avLst/>
          </a:prstGeom>
        </xdr:spPr>
      </xdr:pic>
    </xdr:grpSp>
    <xdr:clientData/>
  </xdr:twoCellAnchor>
  <xdr:twoCellAnchor>
    <xdr:from>
      <xdr:col>17</xdr:col>
      <xdr:colOff>123825</xdr:colOff>
      <xdr:row>4</xdr:row>
      <xdr:rowOff>19050</xdr:rowOff>
    </xdr:from>
    <xdr:to>
      <xdr:col>20</xdr:col>
      <xdr:colOff>276225</xdr:colOff>
      <xdr:row>7</xdr:row>
      <xdr:rowOff>180975</xdr:rowOff>
    </xdr:to>
    <xdr:grpSp>
      <xdr:nvGrpSpPr>
        <xdr:cNvPr id="39" name="Group 38">
          <a:extLst>
            <a:ext uri="{FF2B5EF4-FFF2-40B4-BE49-F238E27FC236}">
              <a16:creationId xmlns:a16="http://schemas.microsoft.com/office/drawing/2014/main" id="{19C51C1A-43B8-4716-B557-EBFC899C65ED}"/>
            </a:ext>
          </a:extLst>
        </xdr:cNvPr>
        <xdr:cNvGrpSpPr/>
      </xdr:nvGrpSpPr>
      <xdr:grpSpPr>
        <a:xfrm>
          <a:off x="10487025" y="781050"/>
          <a:ext cx="1981200" cy="733425"/>
          <a:chOff x="0" y="942975"/>
          <a:chExt cx="1981200" cy="733425"/>
        </a:xfrm>
      </xdr:grpSpPr>
      <xdr:sp macro="" textlink="">
        <xdr:nvSpPr>
          <xdr:cNvPr id="40" name="Rectangle 39">
            <a:extLst>
              <a:ext uri="{FF2B5EF4-FFF2-40B4-BE49-F238E27FC236}">
                <a16:creationId xmlns:a16="http://schemas.microsoft.com/office/drawing/2014/main" id="{47313140-7471-EF2C-1D34-17EE7F51DC9D}"/>
              </a:ext>
            </a:extLst>
          </xdr:cNvPr>
          <xdr:cNvSpPr/>
        </xdr:nvSpPr>
        <xdr:spPr>
          <a:xfrm>
            <a:off x="19050" y="942975"/>
            <a:ext cx="1962150" cy="7334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ED8260B7-1F26-E76E-E91A-2D6B42A6BEDF}"/>
              </a:ext>
            </a:extLst>
          </xdr:cNvPr>
          <xdr:cNvSpPr/>
        </xdr:nvSpPr>
        <xdr:spPr>
          <a:xfrm>
            <a:off x="590550" y="1000125"/>
            <a:ext cx="1200149" cy="32385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700" b="0" cap="none" spc="0" baseline="0">
                <a:ln w="0"/>
                <a:solidFill>
                  <a:schemeClr val="tx1"/>
                </a:solidFill>
                <a:effectLst>
                  <a:outerShdw blurRad="38100" dist="19050" dir="2700000" algn="tl" rotWithShape="0">
                    <a:schemeClr val="dk1">
                      <a:alpha val="40000"/>
                    </a:schemeClr>
                  </a:outerShdw>
                </a:effectLst>
              </a:rPr>
              <a:t>AVERAGE RATINGS FOR EACH PRODUCTS</a:t>
            </a:r>
          </a:p>
        </xdr:txBody>
      </xdr:sp>
      <xdr:sp macro="" textlink="'PIVOT TABLE'!AA6">
        <xdr:nvSpPr>
          <xdr:cNvPr id="42" name="Rectangle 41">
            <a:extLst>
              <a:ext uri="{FF2B5EF4-FFF2-40B4-BE49-F238E27FC236}">
                <a16:creationId xmlns:a16="http://schemas.microsoft.com/office/drawing/2014/main" id="{5ADA67DC-00DB-10A0-8E52-306F19ED5A4B}"/>
              </a:ext>
            </a:extLst>
          </xdr:cNvPr>
          <xdr:cNvSpPr/>
        </xdr:nvSpPr>
        <xdr:spPr>
          <a:xfrm>
            <a:off x="628650" y="1362075"/>
            <a:ext cx="1133475" cy="219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DE8B1BCF-2615-404D-8022-68D1E0EADD3F}"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3.03</a:t>
            </a:fld>
            <a:endParaRPr lang="en-IN" sz="1100" b="0" cap="none" spc="0">
              <a:ln w="0"/>
              <a:solidFill>
                <a:schemeClr val="tx1"/>
              </a:solidFill>
              <a:effectLst>
                <a:outerShdw blurRad="38100" dist="19050" dir="2700000" algn="tl" rotWithShape="0">
                  <a:schemeClr val="dk1">
                    <a:alpha val="40000"/>
                  </a:schemeClr>
                </a:outerShdw>
              </a:effectLst>
            </a:endParaRPr>
          </a:p>
        </xdr:txBody>
      </xdr:sp>
      <xdr:pic>
        <xdr:nvPicPr>
          <xdr:cNvPr id="43" name="Graphic 42" descr="Customer review with solid fill">
            <a:extLst>
              <a:ext uri="{FF2B5EF4-FFF2-40B4-BE49-F238E27FC236}">
                <a16:creationId xmlns:a16="http://schemas.microsoft.com/office/drawing/2014/main" id="{2778BD52-2D35-6740-34DF-C55F0060994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0" y="1038226"/>
            <a:ext cx="571500" cy="571500"/>
          </a:xfrm>
          <a:prstGeom prst="rect">
            <a:avLst/>
          </a:prstGeom>
        </xdr:spPr>
      </xdr:pic>
    </xdr:grpSp>
    <xdr:clientData/>
  </xdr:twoCellAnchor>
  <xdr:twoCellAnchor>
    <xdr:from>
      <xdr:col>0</xdr:col>
      <xdr:colOff>0</xdr:colOff>
      <xdr:row>8</xdr:row>
      <xdr:rowOff>85725</xdr:rowOff>
    </xdr:from>
    <xdr:to>
      <xdr:col>20</xdr:col>
      <xdr:colOff>409575</xdr:colOff>
      <xdr:row>31</xdr:row>
      <xdr:rowOff>76200</xdr:rowOff>
    </xdr:to>
    <xdr:sp macro="" textlink="">
      <xdr:nvSpPr>
        <xdr:cNvPr id="44" name="Rectangle 43">
          <a:extLst>
            <a:ext uri="{FF2B5EF4-FFF2-40B4-BE49-F238E27FC236}">
              <a16:creationId xmlns:a16="http://schemas.microsoft.com/office/drawing/2014/main" id="{9590C076-E5F1-B9A9-D86A-4C811A8EDEFA}"/>
            </a:ext>
          </a:extLst>
        </xdr:cNvPr>
        <xdr:cNvSpPr/>
      </xdr:nvSpPr>
      <xdr:spPr>
        <a:xfrm>
          <a:off x="0" y="1609725"/>
          <a:ext cx="12601575" cy="43719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xdr:from>
      <xdr:col>0</xdr:col>
      <xdr:colOff>104776</xdr:colOff>
      <xdr:row>9</xdr:row>
      <xdr:rowOff>0</xdr:rowOff>
    </xdr:from>
    <xdr:to>
      <xdr:col>4</xdr:col>
      <xdr:colOff>381000</xdr:colOff>
      <xdr:row>19</xdr:row>
      <xdr:rowOff>47625</xdr:rowOff>
    </xdr:to>
    <xdr:graphicFrame macro="">
      <xdr:nvGraphicFramePr>
        <xdr:cNvPr id="45" name="Chart 44">
          <a:extLst>
            <a:ext uri="{FF2B5EF4-FFF2-40B4-BE49-F238E27FC236}">
              <a16:creationId xmlns:a16="http://schemas.microsoft.com/office/drawing/2014/main" id="{0CE13240-EB91-4845-98DD-296F1952B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485775</xdr:colOff>
      <xdr:row>8</xdr:row>
      <xdr:rowOff>171449</xdr:rowOff>
    </xdr:from>
    <xdr:to>
      <xdr:col>9</xdr:col>
      <xdr:colOff>76200</xdr:colOff>
      <xdr:row>19</xdr:row>
      <xdr:rowOff>47624</xdr:rowOff>
    </xdr:to>
    <xdr:graphicFrame macro="">
      <xdr:nvGraphicFramePr>
        <xdr:cNvPr id="46" name="Chart 45">
          <a:extLst>
            <a:ext uri="{FF2B5EF4-FFF2-40B4-BE49-F238E27FC236}">
              <a16:creationId xmlns:a16="http://schemas.microsoft.com/office/drawing/2014/main" id="{E33EF422-17A5-46AC-98B0-7A2704974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200026</xdr:colOff>
      <xdr:row>8</xdr:row>
      <xdr:rowOff>171450</xdr:rowOff>
    </xdr:from>
    <xdr:to>
      <xdr:col>18</xdr:col>
      <xdr:colOff>57150</xdr:colOff>
      <xdr:row>19</xdr:row>
      <xdr:rowOff>47625</xdr:rowOff>
    </xdr:to>
    <xdr:graphicFrame macro="">
      <xdr:nvGraphicFramePr>
        <xdr:cNvPr id="47" name="Chart 46">
          <a:extLst>
            <a:ext uri="{FF2B5EF4-FFF2-40B4-BE49-F238E27FC236}">
              <a16:creationId xmlns:a16="http://schemas.microsoft.com/office/drawing/2014/main" id="{998D23BC-7B8F-403A-8FFE-D5FFB3B03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95250</xdr:colOff>
      <xdr:row>19</xdr:row>
      <xdr:rowOff>171451</xdr:rowOff>
    </xdr:from>
    <xdr:to>
      <xdr:col>5</xdr:col>
      <xdr:colOff>438150</xdr:colOff>
      <xdr:row>30</xdr:row>
      <xdr:rowOff>123825</xdr:rowOff>
    </xdr:to>
    <xdr:graphicFrame macro="">
      <xdr:nvGraphicFramePr>
        <xdr:cNvPr id="48" name="Chart 47">
          <a:extLst>
            <a:ext uri="{FF2B5EF4-FFF2-40B4-BE49-F238E27FC236}">
              <a16:creationId xmlns:a16="http://schemas.microsoft.com/office/drawing/2014/main" id="{7203AF39-C4AD-4835-81D7-190569CE8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161926</xdr:colOff>
      <xdr:row>8</xdr:row>
      <xdr:rowOff>171451</xdr:rowOff>
    </xdr:from>
    <xdr:to>
      <xdr:col>13</xdr:col>
      <xdr:colOff>104775</xdr:colOff>
      <xdr:row>19</xdr:row>
      <xdr:rowOff>47625</xdr:rowOff>
    </xdr:to>
    <xdr:graphicFrame macro="">
      <xdr:nvGraphicFramePr>
        <xdr:cNvPr id="49" name="Chart 48">
          <a:extLst>
            <a:ext uri="{FF2B5EF4-FFF2-40B4-BE49-F238E27FC236}">
              <a16:creationId xmlns:a16="http://schemas.microsoft.com/office/drawing/2014/main" id="{F4B5A9C3-DAB0-4043-9640-BD7907A13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438150</xdr:colOff>
      <xdr:row>19</xdr:row>
      <xdr:rowOff>180975</xdr:rowOff>
    </xdr:from>
    <xdr:to>
      <xdr:col>18</xdr:col>
      <xdr:colOff>57150</xdr:colOff>
      <xdr:row>30</xdr:row>
      <xdr:rowOff>123825</xdr:rowOff>
    </xdr:to>
    <xdr:graphicFrame macro="">
      <xdr:nvGraphicFramePr>
        <xdr:cNvPr id="50" name="Chart 49">
          <a:extLst>
            <a:ext uri="{FF2B5EF4-FFF2-40B4-BE49-F238E27FC236}">
              <a16:creationId xmlns:a16="http://schemas.microsoft.com/office/drawing/2014/main" id="{E670406A-5108-48AB-87F3-EF4BA2947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552450</xdr:colOff>
      <xdr:row>19</xdr:row>
      <xdr:rowOff>180975</xdr:rowOff>
    </xdr:from>
    <xdr:to>
      <xdr:col>12</xdr:col>
      <xdr:colOff>352425</xdr:colOff>
      <xdr:row>30</xdr:row>
      <xdr:rowOff>133350</xdr:rowOff>
    </xdr:to>
    <xdr:graphicFrame macro="">
      <xdr:nvGraphicFramePr>
        <xdr:cNvPr id="51" name="Chart 50">
          <a:extLst>
            <a:ext uri="{FF2B5EF4-FFF2-40B4-BE49-F238E27FC236}">
              <a16:creationId xmlns:a16="http://schemas.microsoft.com/office/drawing/2014/main" id="{C6593BFC-0589-48F9-8966-60F496828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18</xdr:col>
      <xdr:colOff>209549</xdr:colOff>
      <xdr:row>8</xdr:row>
      <xdr:rowOff>161925</xdr:rowOff>
    </xdr:from>
    <xdr:to>
      <xdr:col>20</xdr:col>
      <xdr:colOff>257174</xdr:colOff>
      <xdr:row>15</xdr:row>
      <xdr:rowOff>161925</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37861E91-AE4F-4045-8146-4251B06291C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82349" y="1685925"/>
              <a:ext cx="1266825"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219075</xdr:colOff>
      <xdr:row>16</xdr:row>
      <xdr:rowOff>57149</xdr:rowOff>
    </xdr:from>
    <xdr:to>
      <xdr:col>20</xdr:col>
      <xdr:colOff>247650</xdr:colOff>
      <xdr:row>22</xdr:row>
      <xdr:rowOff>142874</xdr:rowOff>
    </xdr:to>
    <mc:AlternateContent xmlns:mc="http://schemas.openxmlformats.org/markup-compatibility/2006" xmlns:a14="http://schemas.microsoft.com/office/drawing/2010/main">
      <mc:Choice Requires="a14">
        <xdr:graphicFrame macro="">
          <xdr:nvGraphicFramePr>
            <xdr:cNvPr id="53" name="Product_Category 1">
              <a:extLst>
                <a:ext uri="{FF2B5EF4-FFF2-40B4-BE49-F238E27FC236}">
                  <a16:creationId xmlns:a16="http://schemas.microsoft.com/office/drawing/2014/main" id="{F0BC811D-B4A9-41FC-9C48-EC3CB4D759D9}"/>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191875" y="3105149"/>
              <a:ext cx="1247775"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228600</xdr:colOff>
      <xdr:row>23</xdr:row>
      <xdr:rowOff>19050</xdr:rowOff>
    </xdr:from>
    <xdr:to>
      <xdr:col>20</xdr:col>
      <xdr:colOff>247650</xdr:colOff>
      <xdr:row>30</xdr:row>
      <xdr:rowOff>161925</xdr:rowOff>
    </xdr:to>
    <mc:AlternateContent xmlns:mc="http://schemas.openxmlformats.org/markup-compatibility/2006" xmlns:a14="http://schemas.microsoft.com/office/drawing/2010/main">
      <mc:Choice Requires="a14">
        <xdr:graphicFrame macro="">
          <xdr:nvGraphicFramePr>
            <xdr:cNvPr id="55" name="Payment_Method 1">
              <a:extLst>
                <a:ext uri="{FF2B5EF4-FFF2-40B4-BE49-F238E27FC236}">
                  <a16:creationId xmlns:a16="http://schemas.microsoft.com/office/drawing/2014/main" id="{545E0F28-B38A-4F2C-8237-E3A62D78F54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1201400" y="4400550"/>
              <a:ext cx="123825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19.700244444444" createdVersion="8" refreshedVersion="8" minRefreshableVersion="3" recordCount="500" xr:uid="{17CB5881-5F62-4DEA-AACB-5EC1D044E2AD}">
  <cacheSource type="worksheet">
    <worksheetSource name="Table1"/>
  </cacheSource>
  <cacheFields count="22">
    <cacheField name="Order_ID" numFmtId="0">
      <sharedItems containsSemiMixedTypes="0" containsString="0" containsNumber="1" containsInteger="1" minValue="2001" maxValue="2500"/>
    </cacheField>
    <cacheField name="Order_Date" numFmtId="0">
      <sharedItems/>
    </cacheField>
    <cacheField name="Customer_Name" numFmtId="0">
      <sharedItems/>
    </cacheField>
    <cacheField name="Region" numFmtId="0">
      <sharedItems count="4">
        <s v="North"/>
        <s v="South"/>
        <s v="West"/>
        <s v="East"/>
      </sharedItems>
    </cacheField>
    <cacheField name="City" numFmtId="0">
      <sharedItems count="8">
        <s v="Bangalore"/>
        <s v="Mumbai"/>
        <s v="Ahmedabad"/>
        <s v="Kolkata"/>
        <s v="Pune"/>
        <s v="Chennai"/>
        <s v="Kochi"/>
        <s v="Delhi"/>
      </sharedItems>
    </cacheField>
    <cacheField name="Product_Category" numFmtId="0">
      <sharedItems count="3">
        <s v="Furniture"/>
        <s v="Electronics"/>
        <s v="Clothing"/>
      </sharedItems>
    </cacheField>
    <cacheField name="Product_Name" numFmtId="0">
      <sharedItems count="10">
        <s v="Chair"/>
        <s v="Mobile"/>
        <s v="Laptop"/>
        <s v="T-Shirt"/>
        <s v="Tablet"/>
        <s v="Jacket"/>
        <s v="Table"/>
        <s v="Jeans"/>
        <s v="Headphones"/>
        <s v="Sofa"/>
      </sharedItems>
    </cacheField>
    <cacheField name="Sales_Rep" numFmtId="0">
      <sharedItems/>
    </cacheField>
    <cacheField name="Quantity" numFmtId="0">
      <sharedItems containsSemiMixedTypes="0" containsString="0" containsNumber="1" containsInteger="1" minValue="1" maxValue="5" count="5">
        <n v="1"/>
        <n v="5"/>
        <n v="4"/>
        <n v="3"/>
        <n v="2"/>
      </sharedItems>
    </cacheField>
    <cacheField name="Unit_Price" numFmtId="0">
      <sharedItems containsSemiMixedTypes="0" containsString="0" containsNumber="1" containsInteger="1" minValue="546" maxValue="59806"/>
    </cacheField>
    <cacheField name="Discount" numFmtId="0">
      <sharedItems containsSemiMixedTypes="0" containsString="0" containsNumber="1" minValue="190.42" maxValue="53067.23" count="500">
        <n v="5312.76"/>
        <n v="6301.96"/>
        <n v="2131.2399999999998"/>
        <n v="28950.25"/>
        <n v="21540.79"/>
        <n v="34996.15"/>
        <n v="3024.4"/>
        <n v="8544.73"/>
        <n v="6370.34"/>
        <n v="3464.78"/>
        <n v="12056.93"/>
        <n v="259.27"/>
        <n v="3011.83"/>
        <n v="5071.6400000000003"/>
        <n v="10730.67"/>
        <n v="2985.08"/>
        <n v="10600.93"/>
        <n v="34866.410000000003"/>
        <n v="12207.47"/>
        <n v="5309.96"/>
        <n v="19638.150000000001"/>
        <n v="9125.2099999999991"/>
        <n v="11854.29"/>
        <n v="24034.18"/>
        <n v="18669.5"/>
        <n v="20410.09"/>
        <n v="37023.07"/>
        <n v="12189.97"/>
        <n v="26146.16"/>
        <n v="6705.09"/>
        <n v="3306.29"/>
        <n v="16992.77"/>
        <n v="7402.4"/>
        <n v="11749.47"/>
        <n v="923.04"/>
        <n v="9579.7900000000009"/>
        <n v="11946.68"/>
        <n v="13563.36"/>
        <n v="11265.47"/>
        <n v="3071.99"/>
        <n v="2654.94"/>
        <n v="14604.01"/>
        <n v="3878.47"/>
        <n v="16768.63"/>
        <n v="29571.77"/>
        <n v="5806.07"/>
        <n v="1844.63"/>
        <n v="318.39"/>
        <n v="1444.51"/>
        <n v="11169.03"/>
        <n v="12187.85"/>
        <n v="10932.3"/>
        <n v="17750.32"/>
        <n v="867.47"/>
        <n v="2148.12"/>
        <n v="7128.85"/>
        <n v="4256.18"/>
        <n v="53067.23"/>
        <n v="47236.53"/>
        <n v="10323.67"/>
        <n v="2463.2399999999998"/>
        <n v="26600.34"/>
        <n v="27334.25"/>
        <n v="9680.2900000000009"/>
        <n v="7281.45"/>
        <n v="1155.2"/>
        <n v="1774.72"/>
        <n v="626.24"/>
        <n v="21879.62"/>
        <n v="4623"/>
        <n v="1341.48"/>
        <n v="7173.52"/>
        <n v="15945.86"/>
        <n v="18295.95"/>
        <n v="15074.56"/>
        <n v="1865.17"/>
        <n v="32985.43"/>
        <n v="3206.53"/>
        <n v="6962.98"/>
        <n v="3296.66"/>
        <n v="24820.92"/>
        <n v="7278.74"/>
        <n v="1759.97"/>
        <n v="17789.34"/>
        <n v="9561.52"/>
        <n v="6623.93"/>
        <n v="7845.3"/>
        <n v="3206.18"/>
        <n v="300.63"/>
        <n v="37563.050000000003"/>
        <n v="18265.29"/>
        <n v="2408.92"/>
        <n v="3177.48"/>
        <n v="6221.35"/>
        <n v="20584.03"/>
        <n v="2186.64"/>
        <n v="9769.0400000000009"/>
        <n v="20548.16"/>
        <n v="3468.88"/>
        <n v="1587.3"/>
        <n v="12888.51"/>
        <n v="3717.2"/>
        <n v="21826.77"/>
        <n v="13129.77"/>
        <n v="16912.490000000002"/>
        <n v="4019.19"/>
        <n v="20968.490000000002"/>
        <n v="1475.24"/>
        <n v="11365.23"/>
        <n v="8492.08"/>
        <n v="3619.5"/>
        <n v="8418.24"/>
        <n v="768.66"/>
        <n v="22730.23"/>
        <n v="4573.29"/>
        <n v="21547.39"/>
        <n v="15917.14"/>
        <n v="1096.54"/>
        <n v="24201.72"/>
        <n v="634.44000000000005"/>
        <n v="12420.32"/>
        <n v="1767.78"/>
        <n v="2250.85"/>
        <n v="20314.849999999999"/>
        <n v="14005.2"/>
        <n v="1309.1099999999999"/>
        <n v="690.1"/>
        <n v="11847.21"/>
        <n v="588.32000000000005"/>
        <n v="580.49"/>
        <n v="5853.11"/>
        <n v="6257.12"/>
        <n v="29352.23"/>
        <n v="16764.27"/>
        <n v="1826.01"/>
        <n v="4975.0200000000004"/>
        <n v="416.33"/>
        <n v="7502.56"/>
        <n v="30533.27"/>
        <n v="8489.41"/>
        <n v="4404.25"/>
        <n v="12434.83"/>
        <n v="6941.54"/>
        <n v="8353.56"/>
        <n v="13039.73"/>
        <n v="10555.48"/>
        <n v="17469.88"/>
        <n v="4735.03"/>
        <n v="38521.58"/>
        <n v="4670.8100000000004"/>
        <n v="2339.29"/>
        <n v="8023.99"/>
        <n v="1951.53"/>
        <n v="21632.92"/>
        <n v="965.77"/>
        <n v="9424.3799999999992"/>
        <n v="8428.1299999999992"/>
        <n v="10335.61"/>
        <n v="3665.03"/>
        <n v="2418.36"/>
        <n v="6463.44"/>
        <n v="8275.7999999999993"/>
        <n v="21017.73"/>
        <n v="4837.0200000000004"/>
        <n v="23384.36"/>
        <n v="5602.32"/>
        <n v="12109.45"/>
        <n v="5726.71"/>
        <n v="44986.13"/>
        <n v="11646.3"/>
        <n v="9057.82"/>
        <n v="21674.080000000002"/>
        <n v="40639.620000000003"/>
        <n v="2968.09"/>
        <n v="5870.52"/>
        <n v="3484.77"/>
        <n v="23712.62"/>
        <n v="11841.68"/>
        <n v="4314.28"/>
        <n v="6773.74"/>
        <n v="39541.339999999997"/>
        <n v="8200.9699999999993"/>
        <n v="22349.8"/>
        <n v="10730.87"/>
        <n v="14520.28"/>
        <n v="9248.33"/>
        <n v="2876.51"/>
        <n v="4454.97"/>
        <n v="12131.02"/>
        <n v="7199.23"/>
        <n v="8376.65"/>
        <n v="8828.18"/>
        <n v="1112.93"/>
        <n v="1788.69"/>
        <n v="4361.59"/>
        <n v="1105.03"/>
        <n v="29583.46"/>
        <n v="6872.86"/>
        <n v="6482.2"/>
        <n v="9513.9"/>
        <n v="3699.23"/>
        <n v="7776.18"/>
        <n v="865.49"/>
        <n v="6462.87"/>
        <n v="18225.7"/>
        <n v="1487.57"/>
        <n v="9399.4"/>
        <n v="9428.92"/>
        <n v="222.86"/>
        <n v="1265.58"/>
        <n v="3764.25"/>
        <n v="32187.360000000001"/>
        <n v="7673.53"/>
        <n v="5226.04"/>
        <n v="9817.1299999999992"/>
        <n v="8629.31"/>
        <n v="18970.95"/>
        <n v="3898.63"/>
        <n v="1731.13"/>
        <n v="10495.22"/>
        <n v="3696.61"/>
        <n v="17379.77"/>
        <n v="294.08999999999997"/>
        <n v="17937.62"/>
        <n v="26347.69"/>
        <n v="28321.25"/>
        <n v="6222.27"/>
        <n v="22734.67"/>
        <n v="2404.73"/>
        <n v="16576.78"/>
        <n v="2334.9299999999998"/>
        <n v="2213.81"/>
        <n v="13485.18"/>
        <n v="934.38"/>
        <n v="4611.72"/>
        <n v="1403.28"/>
        <n v="8693.7999999999993"/>
        <n v="3191.29"/>
        <n v="6219.71"/>
        <n v="14070.4"/>
        <n v="10606.86"/>
        <n v="592.29999999999995"/>
        <n v="18234.009999999998"/>
        <n v="1220.8800000000001"/>
        <n v="9237.98"/>
        <n v="21015.25"/>
        <n v="10801.38"/>
        <n v="7091.43"/>
        <n v="20496.580000000002"/>
        <n v="29804.6"/>
        <n v="2958.4"/>
        <n v="15280.71"/>
        <n v="2986.8"/>
        <n v="50955.59"/>
        <n v="12666.53"/>
        <n v="20113.490000000002"/>
        <n v="43402.05"/>
        <n v="2719.83"/>
        <n v="9724.8700000000008"/>
        <n v="4880.6000000000004"/>
        <n v="8216.98"/>
        <n v="10957.9"/>
        <n v="30732.7"/>
        <n v="2043.06"/>
        <n v="12918.59"/>
        <n v="11357.04"/>
        <n v="8839.4599999999991"/>
        <n v="27046.37"/>
        <n v="3153.44"/>
        <n v="13894.18"/>
        <n v="3155.21"/>
        <n v="7267.21"/>
        <n v="3018.51"/>
        <n v="6900.6"/>
        <n v="9708.32"/>
        <n v="35674.01"/>
        <n v="14649.4"/>
        <n v="829.32"/>
        <n v="9687.49"/>
        <n v="36785.61"/>
        <n v="1582.43"/>
        <n v="9240.64"/>
        <n v="11192.54"/>
        <n v="14487.95"/>
        <n v="9895.36"/>
        <n v="13668.63"/>
        <n v="1430.67"/>
        <n v="10998.93"/>
        <n v="14462.1"/>
        <n v="17224.27"/>
        <n v="2258.27"/>
        <n v="3763.9"/>
        <n v="6500.59"/>
        <n v="32908.51"/>
        <n v="7397.12"/>
        <n v="13730.85"/>
        <n v="813.13"/>
        <n v="4278.62"/>
        <n v="3073.6"/>
        <n v="478.6"/>
        <n v="8543.2999999999993"/>
        <n v="10341.35"/>
        <n v="16598.349999999999"/>
        <n v="15940.84"/>
        <n v="6204.51"/>
        <n v="1341.71"/>
        <n v="20128.68"/>
        <n v="8476.2999999999993"/>
        <n v="25618.14"/>
        <n v="1199.6199999999999"/>
        <n v="19032.13"/>
        <n v="11773.06"/>
        <n v="19182.41"/>
        <n v="19451.419999999998"/>
        <n v="4082.67"/>
        <n v="6612.48"/>
        <n v="5197.54"/>
        <n v="9867.09"/>
        <n v="22039.75"/>
        <n v="3118.81"/>
        <n v="5997.59"/>
        <n v="21553.98"/>
        <n v="3368.61"/>
        <n v="42428.18"/>
        <n v="13801.94"/>
        <n v="1892.05"/>
        <n v="500.41"/>
        <n v="3914.52"/>
        <n v="31304.03"/>
        <n v="1442.51"/>
        <n v="2423.89"/>
        <n v="15393.9"/>
        <n v="8136.26"/>
        <n v="29473.34"/>
        <n v="1423.84"/>
        <n v="5425.13"/>
        <n v="1678.66"/>
        <n v="1193.69"/>
        <n v="10935.97"/>
        <n v="1568.47"/>
        <n v="10115.74"/>
        <n v="1414.37"/>
        <n v="10931.99"/>
        <n v="8780.01"/>
        <n v="5067.88"/>
        <n v="9494.92"/>
        <n v="21377.96"/>
        <n v="1346.75"/>
        <n v="21497.15"/>
        <n v="190.42"/>
        <n v="6359.37"/>
        <n v="5823.38"/>
        <n v="2403.27"/>
        <n v="9045.07"/>
        <n v="4288.42"/>
        <n v="5671.56"/>
        <n v="17260.11"/>
        <n v="27897.23"/>
        <n v="41744.11"/>
        <n v="2395.7199999999998"/>
        <n v="1341.82"/>
        <n v="3286.28"/>
        <n v="741.64"/>
        <n v="7619.73"/>
        <n v="29063.91"/>
        <n v="41859.47"/>
        <n v="1175.24"/>
        <n v="21918.37"/>
        <n v="3445.18"/>
        <n v="4777.84"/>
        <n v="1261.31"/>
        <n v="21737.95"/>
        <n v="2234.4699999999998"/>
        <n v="29047.79"/>
        <n v="2076.34"/>
        <n v="18733.66"/>
        <n v="2807.6"/>
        <n v="484.21"/>
        <n v="3307"/>
        <n v="1784.49"/>
        <n v="11040.67"/>
        <n v="4996.3500000000004"/>
        <n v="23685.46"/>
        <n v="3454.3"/>
        <n v="12373.87"/>
        <n v="11481.65"/>
        <n v="10572.01"/>
        <n v="5813.73"/>
        <n v="14012.7"/>
        <n v="1150.19"/>
        <n v="14112.08"/>
        <n v="37630.6"/>
        <n v="2185.91"/>
        <n v="17398.75"/>
        <n v="15189.65"/>
        <n v="29525.67"/>
        <n v="2825.18"/>
        <n v="5868.1"/>
        <n v="4701.09"/>
        <n v="21982.02"/>
        <n v="26756.720000000001"/>
        <n v="3625.93"/>
        <n v="4198.8100000000004"/>
        <n v="15287.54"/>
        <n v="5942.29"/>
        <n v="7064.25"/>
        <n v="830.19"/>
        <n v="16150.81"/>
        <n v="47805.99"/>
        <n v="760.04"/>
        <n v="9751.07"/>
        <n v="886.41"/>
        <n v="9439.6299999999992"/>
        <n v="15186.68"/>
        <n v="12021.42"/>
        <n v="15235.87"/>
        <n v="8424.09"/>
        <n v="46124.05"/>
        <n v="3926.55"/>
        <n v="3291.71"/>
        <n v="20830.240000000002"/>
        <n v="8637.33"/>
        <n v="7599.33"/>
        <n v="3117.81"/>
        <n v="1908.27"/>
        <n v="52667.91"/>
        <n v="8568.15"/>
        <n v="22902.62"/>
        <n v="3495.07"/>
        <n v="18166.22"/>
        <n v="1302.55"/>
        <n v="8911.16"/>
        <n v="4092.42"/>
        <n v="27229.82"/>
        <n v="37679.4"/>
        <n v="2435.5100000000002"/>
        <n v="9345.16"/>
        <n v="15050.55"/>
        <n v="1696.91"/>
        <n v="21997.75"/>
        <n v="8114.24"/>
        <n v="5641.07"/>
        <n v="31925.65"/>
        <n v="4110.4399999999996"/>
        <n v="19309.46"/>
        <n v="2482.46"/>
        <n v="6472.82"/>
        <n v="6473.36"/>
        <n v="6607.32"/>
        <n v="9865.9699999999993"/>
        <n v="31978.03"/>
        <n v="9526.16"/>
        <n v="1687.28"/>
        <n v="5916.92"/>
        <n v="9738.27"/>
        <n v="17818.47"/>
        <n v="9333.36"/>
        <n v="12640.92"/>
        <n v="6104.71"/>
        <n v="1022.68"/>
        <n v="1638.92"/>
        <n v="5318.53"/>
        <n v="17979.05"/>
        <n v="7125.96"/>
        <n v="34708.589999999997"/>
        <n v="3149.57"/>
        <n v="6677.1"/>
        <n v="29812.89"/>
        <n v="18765.8"/>
        <n v="20725.71"/>
        <n v="27678.74"/>
        <n v="823.34"/>
        <n v="18172.38"/>
        <n v="5042.2299999999996"/>
        <n v="4490.3500000000004"/>
        <n v="42121.24"/>
        <n v="3321.96"/>
        <n v="13420.44"/>
        <n v="19367.080000000002"/>
        <n v="4276.3900000000003"/>
        <n v="602.76"/>
        <n v="289.31"/>
        <n v="847.66"/>
        <n v="313.64999999999998"/>
        <n v="5144.5"/>
        <n v="6488.67"/>
        <n v="4185.8500000000004"/>
        <n v="23292.5"/>
        <n v="3181.71"/>
        <n v="13652.32"/>
        <n v="2587.67"/>
        <n v="895.29"/>
        <n v="12738.09"/>
        <n v="9051.76"/>
        <n v="1034.24"/>
        <n v="5913.92"/>
        <n v="22626.639999999999"/>
        <n v="14412.84"/>
        <n v="3682.98"/>
        <n v="6894.57"/>
      </sharedItems>
    </cacheField>
    <cacheField name="Tax" numFmtId="0">
      <sharedItems containsSemiMixedTypes="0" containsString="0" containsNumber="1" minValue="154.9" maxValue="29903"/>
    </cacheField>
    <cacheField name="Shipping_Cost" numFmtId="0">
      <sharedItems containsSemiMixedTypes="0" containsString="0" containsNumber="1" containsInteger="1" minValue="50" maxValue="500" count="304">
        <n v="484"/>
        <n v="152"/>
        <n v="316"/>
        <n v="167"/>
        <n v="330"/>
        <n v="189"/>
        <n v="333"/>
        <n v="251"/>
        <n v="210"/>
        <n v="102"/>
        <n v="200"/>
        <n v="435"/>
        <n v="301"/>
        <n v="449"/>
        <n v="175"/>
        <n v="461"/>
        <n v="85"/>
        <n v="71"/>
        <n v="300"/>
        <n v="107"/>
        <n v="271"/>
        <n v="188"/>
        <n v="288"/>
        <n v="62"/>
        <n v="72"/>
        <n v="298"/>
        <n v="246"/>
        <n v="101"/>
        <n v="456"/>
        <n v="258"/>
        <n v="297"/>
        <n v="439"/>
        <n v="127"/>
        <n v="401"/>
        <n v="373"/>
        <n v="397"/>
        <n v="470"/>
        <n v="423"/>
        <n v="86"/>
        <n v="442"/>
        <n v="256"/>
        <n v="203"/>
        <n v="279"/>
        <n v="272"/>
        <n v="237"/>
        <n v="176"/>
        <n v="327"/>
        <n v="390"/>
        <n v="374"/>
        <n v="132"/>
        <n v="488"/>
        <n v="233"/>
        <n v="369"/>
        <n v="94"/>
        <n v="82"/>
        <n v="77"/>
        <n v="274"/>
        <n v="491"/>
        <n v="248"/>
        <n v="120"/>
        <n v="410"/>
        <n v="231"/>
        <n v="229"/>
        <n v="304"/>
        <n v="294"/>
        <n v="394"/>
        <n v="417"/>
        <n v="140"/>
        <n v="360"/>
        <n v="500"/>
        <n v="296"/>
        <n v="65"/>
        <n v="421"/>
        <n v="75"/>
        <n v="362"/>
        <n v="341"/>
        <n v="223"/>
        <n v="245"/>
        <n v="119"/>
        <n v="427"/>
        <n v="314"/>
        <n v="307"/>
        <n v="358"/>
        <n v="173"/>
        <n v="92"/>
        <n v="198"/>
        <n v="165"/>
        <n v="386"/>
        <n v="113"/>
        <n v="207"/>
        <n v="474"/>
        <n v="393"/>
        <n v="282"/>
        <n v="443"/>
        <n v="268"/>
        <n v="61"/>
        <n v="67"/>
        <n v="78"/>
        <n v="375"/>
        <n v="416"/>
        <n v="466"/>
        <n v="242"/>
        <n v="114"/>
        <n v="216"/>
        <n v="181"/>
        <n v="228"/>
        <n v="412"/>
        <n v="109"/>
        <n v="348"/>
        <n v="310"/>
        <n v="498"/>
        <n v="411"/>
        <n v="180"/>
        <n v="79"/>
        <n v="156"/>
        <n v="95"/>
        <n v="361"/>
        <n v="395"/>
        <n v="407"/>
        <n v="398"/>
        <n v="205"/>
        <n v="60"/>
        <n v="234"/>
        <n v="261"/>
        <n v="219"/>
        <n v="81"/>
        <n v="185"/>
        <n v="148"/>
        <n v="115"/>
        <n v="227"/>
        <n v="425"/>
        <n v="57"/>
        <n v="281"/>
        <n v="117"/>
        <n v="183"/>
        <n v="260"/>
        <n v="186"/>
        <n v="139"/>
        <n v="126"/>
        <n v="222"/>
        <n v="413"/>
        <n v="144"/>
        <n v="121"/>
        <n v="322"/>
        <n v="193"/>
        <n v="306"/>
        <n v="450"/>
        <n v="452"/>
        <n v="230"/>
        <n v="269"/>
        <n v="332"/>
        <n v="482"/>
        <n v="122"/>
        <n v="250"/>
        <n v="381"/>
        <n v="462"/>
        <n v="319"/>
        <n v="267"/>
        <n v="206"/>
        <n v="365"/>
        <n v="190"/>
        <n v="391"/>
        <n v="434"/>
        <n v="196"/>
        <n v="64"/>
        <n v="130"/>
        <n v="404"/>
        <n v="212"/>
        <n v="440"/>
        <n v="202"/>
        <n v="383"/>
        <n v="372"/>
        <n v="325"/>
        <n v="224"/>
        <n v="191"/>
        <n v="103"/>
        <n v="96"/>
        <n v="345"/>
        <n v="172"/>
        <n v="406"/>
        <n v="308"/>
        <n v="486"/>
        <n v="338"/>
        <n v="225"/>
        <n v="309"/>
        <n v="387"/>
        <n v="112"/>
        <n v="478"/>
        <n v="192"/>
        <n v="106"/>
        <n v="370"/>
        <n v="399"/>
        <n v="287"/>
        <n v="438"/>
        <n v="187"/>
        <n v="99"/>
        <n v="430"/>
        <n v="494"/>
        <n v="204"/>
        <n v="70"/>
        <n v="108"/>
        <n v="377"/>
        <n v="335"/>
        <n v="331"/>
        <n v="131"/>
        <n v="129"/>
        <n v="351"/>
        <n v="432"/>
        <n v="409"/>
        <n v="145"/>
        <n v="460"/>
        <n v="490"/>
        <n v="151"/>
        <n v="336"/>
        <n v="160"/>
        <n v="262"/>
        <n v="158"/>
        <n v="483"/>
        <n v="382"/>
        <n v="465"/>
        <n v="159"/>
        <n v="328"/>
        <n v="408"/>
        <n v="444"/>
        <n v="429"/>
        <n v="334"/>
        <n v="344"/>
        <n v="446"/>
        <n v="54"/>
        <n v="199"/>
        <n v="312"/>
        <n v="254"/>
        <n v="143"/>
        <n v="492"/>
        <n v="320"/>
        <n v="97"/>
        <n v="244"/>
        <n v="495"/>
        <n v="472"/>
        <n v="166"/>
        <n v="125"/>
        <n v="184"/>
        <n v="318"/>
        <n v="342"/>
        <n v="471"/>
        <n v="179"/>
        <n v="236"/>
        <n v="83"/>
        <n v="252"/>
        <n v="352"/>
        <n v="50"/>
        <n v="66"/>
        <n v="454"/>
        <n v="168"/>
        <n v="431"/>
        <n v="400"/>
        <n v="402"/>
        <n v="289"/>
        <n v="56"/>
        <n v="455"/>
        <n v="420"/>
        <n v="194"/>
        <n v="340"/>
        <n v="311"/>
        <n v="419"/>
        <n v="388"/>
        <n v="363"/>
        <n v="458"/>
        <n v="479"/>
        <n v="426"/>
        <n v="174"/>
        <n v="302"/>
        <n v="481"/>
        <n v="286"/>
        <n v="163"/>
        <n v="350"/>
        <n v="293"/>
        <n v="53"/>
        <n v="467"/>
        <n v="170"/>
        <n v="389"/>
        <n v="133"/>
        <n v="380"/>
        <n v="437"/>
        <n v="73"/>
        <n v="299"/>
        <n v="475"/>
        <n v="305"/>
        <n v="355"/>
        <n v="441"/>
        <n v="88"/>
        <n v="124"/>
        <n v="134"/>
        <n v="240"/>
        <n v="76"/>
        <n v="226"/>
        <n v="105"/>
        <n v="422"/>
        <n v="265"/>
        <n v="182"/>
        <n v="493"/>
        <n v="295"/>
        <n v="247"/>
        <n v="52"/>
      </sharedItems>
    </cacheField>
    <cacheField name="Total_Sales" numFmtId="0">
      <sharedItems containsSemiMixedTypes="0" containsString="0" containsNumber="1" minValue="1720.41" maxValue="308535.42" count="500">
        <n v="40553.94"/>
        <n v="42123.54"/>
        <n v="12062.36"/>
        <n v="165045.54999999999"/>
        <n v="111196.21"/>
        <n v="253288.35"/>
        <n v="51240.5"/>
        <n v="40859.769999999997"/>
        <n v="57322.86"/>
        <n v="31499.62"/>
        <n v="151942.87"/>
        <n v="3484.93"/>
        <n v="44206.17"/>
        <n v="29558.16"/>
        <n v="74418.33"/>
        <n v="27360.720000000001"/>
        <n v="190913.67"/>
        <n v="179206.79"/>
        <n v="64635.53"/>
        <n v="49687.34"/>
        <n v="113357.05"/>
        <n v="78114.990000000005"/>
        <n v="235757.21"/>
        <n v="196065.82"/>
        <n v="107346.3"/>
        <n v="92932.11"/>
        <n v="170173.43"/>
        <n v="107700.03"/>
        <n v="128642.14"/>
        <n v="31847.11"/>
        <n v="61348.21"/>
        <n v="247369.73"/>
        <n v="43391.8"/>
        <n v="89276.73"/>
        <n v="10059.459999999999"/>
        <n v="132440.60999999999"/>
        <n v="127987.12"/>
        <n v="66676.240000000005"/>
        <n v="109202.03"/>
        <n v="14713.11"/>
        <n v="41037.660000000003"/>
        <n v="102761.79"/>
        <n v="29510.73"/>
        <n v="104822.87"/>
        <n v="204788.23"/>
        <n v="30005.13"/>
        <n v="17826.97"/>
        <n v="1720.41"/>
        <n v="14954.29"/>
        <n v="90500.97"/>
        <n v="59855.05"/>
        <n v="116337.7"/>
        <n v="91578.68"/>
        <n v="12237.53"/>
        <n v="19103.68"/>
        <n v="40383.949999999997"/>
        <n v="48354.02"/>
        <n v="254893.77"/>
        <n v="235716.47"/>
        <n v="49187.53"/>
        <n v="22014.36"/>
        <n v="217654.06"/>
        <n v="152256.25"/>
        <n v="126172.71"/>
        <n v="96943.05"/>
        <n v="12033.8"/>
        <n v="9931.68"/>
        <n v="3758.76"/>
        <n v="135846.38"/>
        <n v="52942.400000000001"/>
        <n v="12076.42"/>
        <n v="97327.87999999999"/>
        <n v="157009.64000000001"/>
        <n v="142826.04999999999"/>
        <n v="122581.64"/>
        <n v="25497.43"/>
        <n v="294120.57"/>
        <n v="52695.17"/>
        <n v="61314.420000000013"/>
        <n v="17234.54"/>
        <n v="214776.88"/>
        <n v="52430.46"/>
        <n v="16374.63"/>
        <n v="168856.16"/>
        <n v="128488.18"/>
        <n v="48079.27"/>
        <n v="75259.899999999994"/>
        <n v="53533.42"/>
        <n v="2361.4699999999998"/>
        <n v="285738.45"/>
        <n v="145857.21"/>
        <n v="21426.68"/>
        <n v="23710.52"/>
        <n v="85617.849999999991"/>
        <n v="173129.27"/>
        <n v="13743.56"/>
        <n v="54862.46"/>
        <n v="211163.24"/>
        <n v="21348.42"/>
        <n v="25831.200000000001"/>
        <n v="149176.99"/>
        <n v="47857.8"/>
        <n v="119272.13"/>
        <n v="79137.83"/>
        <n v="111634.01"/>
        <n v="23968.01"/>
        <n v="101935.51"/>
        <n v="8790.9600000000009"/>
        <n v="92142.77"/>
        <n v="107256.12"/>
        <n v="70098.100000000006"/>
        <n v="52547.76"/>
        <n v="4716.34"/>
        <n v="269176.27"/>
        <n v="33785.11"/>
        <n v="117865.01"/>
        <n v="83240.259999999995"/>
        <n v="20810.36"/>
        <n v="123825.08"/>
        <n v="5036.8599999999997"/>
        <n v="103533.58"/>
        <n v="25755.32"/>
        <n v="21711.15"/>
        <n v="253468.65"/>
        <n v="102440.6"/>
        <n v="9078.49"/>
        <n v="7528.9"/>
        <n v="64275.39"/>
        <n v="9487.880000000001"/>
        <n v="9650.7100000000009"/>
        <n v="41803.99"/>
        <n v="30818.38"/>
        <n v="160594.47"/>
        <n v="77526.12999999999"/>
        <n v="32033.49"/>
        <n v="28751.08"/>
        <n v="4887.67"/>
        <n v="118130.04"/>
        <n v="155685.32999999999"/>
        <n v="112535.39"/>
        <n v="49754.35"/>
        <n v="57384.27"/>
        <n v="81121.960000000006"/>
        <n v="50107.34"/>
        <n v="59154.070000000007"/>
        <n v="52828.820000000007"/>
        <n v="104419.62"/>
        <n v="48276.47"/>
        <n v="208289.42"/>
        <n v="34177.99"/>
        <n v="24063.11"/>
        <n v="55689.51"/>
        <n v="17700.27"/>
        <n v="134364.88"/>
        <n v="19308.93"/>
        <n v="107119.02"/>
        <n v="85087.87"/>
        <n v="68563.39"/>
        <n v="19446.169999999998"/>
        <n v="15526.14"/>
        <n v="56185.259999999987"/>
        <n v="37756.800000000003"/>
        <n v="125509.37"/>
        <n v="35128.379999999997"/>
        <n v="193911.14"/>
        <n v="60004.28"/>
        <n v="146613.25"/>
        <n v="53697.89"/>
        <n v="204300.37"/>
        <n v="209554.2"/>
        <n v="43395.18"/>
        <n v="168066.92"/>
        <n v="228217.38"/>
        <n v="37354.51"/>
        <n v="49026.079999999987"/>
        <n v="48139.030000000013"/>
        <n v="148668.98000000001"/>
        <n v="57039.72"/>
        <n v="67438.12"/>
        <n v="38352.86"/>
        <n v="224953.16"/>
        <n v="37676.83"/>
        <n v="156381.4"/>
        <n v="50049.73"/>
        <n v="70189.119999999995"/>
        <n v="122062.87"/>
        <n v="53000.69"/>
        <n v="88742.83"/>
        <n v="60783.78"/>
        <n v="56773.570000000007"/>
        <n v="43983.25"/>
        <n v="88408.320000000007"/>
        <n v="7746.77"/>
        <n v="27946.91"/>
        <n v="35115.21"/>
        <n v="10139.27"/>
        <n v="178362.74"/>
        <n v="137816.64000000001"/>
        <n v="29538.1"/>
        <n v="88689.1"/>
        <n v="36127.769999999997"/>
        <n v="70019.42"/>
        <n v="5934.51"/>
        <n v="38491.629999999997"/>
        <n v="151795.20000000001"/>
        <n v="17145.93"/>
        <n v="50809.3"/>
        <n v="93075.88"/>
        <n v="2481.2399999999998"/>
        <n v="6778.92"/>
        <n v="59732.95"/>
        <n v="193727.64"/>
        <n v="36122.67"/>
        <n v="36094.36"/>
        <n v="46856.670000000013"/>
        <n v="85080.99"/>
        <n v="109306.45"/>
        <n v="36348.370000000003"/>
        <n v="9770.9699999999993"/>
        <n v="78806.78"/>
        <n v="37467.79"/>
        <n v="84763.62999999999"/>
        <n v="5993.11"/>
        <n v="92686.38"/>
        <n v="142195.01"/>
        <n v="175050.35"/>
        <n v="48953.03"/>
        <n v="142218.13"/>
        <n v="41578.769999999997"/>
        <n v="196440.22"/>
        <n v="27065.47"/>
        <n v="12736.59"/>
        <n v="100667.62"/>
        <n v="17811.32"/>
        <n v="34399.68"/>
        <n v="12928.42"/>
        <n v="46845"/>
        <n v="24005.71"/>
        <n v="33367.69"/>
        <n v="97504"/>
        <n v="94436.94"/>
        <n v="4147.7"/>
        <n v="85348.99"/>
        <n v="8939.52"/>
        <n v="58131.420000000013"/>
        <n v="279733.75"/>
        <n v="102475.42"/>
        <n v="88764.77"/>
        <n v="308535.42"/>
        <n v="145403.70000000001"/>
        <n v="48082"/>
        <n v="284938.28999999998"/>
        <n v="52370.6"/>
        <n v="270380.90999999997"/>
        <n v="91672.27"/>
        <n v="177419.71"/>
        <n v="241634.95"/>
        <n v="26062.97"/>
        <n v="59321.829999999987"/>
        <n v="70895.600000000006"/>
        <n v="41492.620000000003"/>
        <n v="96375.5"/>
        <n v="178674.3"/>
        <n v="30385.94"/>
        <n v="116932.81"/>
        <n v="90135.859999999986"/>
        <n v="56905.440000000002"/>
        <n v="147322.63"/>
        <n v="30981.26"/>
        <n v="97231.22"/>
        <n v="24019.89"/>
        <n v="51395.49"/>
        <n v="39318.089999999997"/>
        <n v="49982.400000000001"/>
        <n v="73759.079999999987"/>
        <n v="208371.19"/>
        <n v="226694"/>
        <n v="13132.18"/>
        <n v="68708.61"/>
        <n v="216061.99"/>
        <n v="17303.77"/>
        <n v="91251.76"/>
        <n v="122186.26"/>
        <n v="81295.05"/>
        <n v="47904.34"/>
        <n v="220837.77"/>
        <n v="29542.13"/>
        <n v="124391.57"/>
        <n v="143558.29999999999"/>
        <n v="107027.33"/>
        <n v="22112.53"/>
        <n v="54863.6"/>
        <n v="57227.91"/>
        <n v="276967.49"/>
        <n v="46938.78"/>
        <n v="69334.05"/>
        <n v="11357.87"/>
        <n v="28952.58"/>
        <n v="43125.1"/>
        <n v="3801"/>
        <n v="178552.3"/>
        <n v="91894.45"/>
        <n v="181682.15"/>
        <n v="121766.66"/>
        <n v="53239.69"/>
        <n v="10139.790000000001"/>
        <n v="126298.32"/>
        <n v="109932.3"/>
        <n v="201869.26"/>
        <n v="21178.18"/>
        <n v="90520.26999999999"/>
        <n v="148679.44"/>
        <n v="134310.79"/>
        <n v="93557.78"/>
        <n v="30899.83"/>
        <n v="64202.720000000001"/>
        <n v="49367.46"/>
        <n v="45561.81"/>
        <n v="209944.75"/>
        <n v="63670.19"/>
        <n v="35659.71"/>
        <n v="224004.42"/>
        <n v="39995.19"/>
        <n v="235185.32"/>
        <n v="179309.86"/>
        <n v="14997.15"/>
        <n v="7577.89"/>
        <n v="28064.38"/>
        <n v="272724.96999999997"/>
        <n v="12582.19"/>
        <n v="12641.11"/>
        <n v="75871"/>
        <n v="57545.440000000002"/>
        <n v="167684.16"/>
        <n v="9604.9599999999991"/>
        <n v="48101.07"/>
        <n v="10223.24"/>
        <n v="23254.21"/>
        <n v="64371.83"/>
        <n v="17570.03"/>
        <n v="85014.76"/>
        <n v="11331.83"/>
        <n v="213201.01"/>
        <n v="46499.49"/>
        <n v="25878.62"/>
        <n v="121563.48"/>
        <n v="140219.64000000001"/>
        <n v="6734.75"/>
        <n v="100863.85"/>
        <n v="2008.48"/>
        <n v="56241.829999999987"/>
        <n v="57121.62"/>
        <n v="15889.63"/>
        <n v="46060.73"/>
        <n v="54777.98"/>
        <n v="58343.54"/>
        <n v="106714.79"/>
        <n v="159083.76999999999"/>
        <n v="262729.39"/>
        <n v="25722.080000000002"/>
        <n v="18106.18"/>
        <n v="15677.72"/>
        <n v="8166.36"/>
        <n v="45336.670000000013"/>
        <n v="261591.09"/>
        <n v="211556.13"/>
        <n v="22783.360000000001"/>
        <n v="154676.13"/>
        <n v="37639.82"/>
        <n v="71633.66"/>
        <n v="16913.689999999999"/>
        <n v="126705.05"/>
        <n v="27639.13"/>
        <n v="172128.71"/>
        <n v="26189.86"/>
        <n v="204193.14"/>
        <n v="57615.7"/>
        <n v="8738.89"/>
        <n v="32941.1"/>
        <n v="17142.810000000001"/>
        <n v="137577.93"/>
        <n v="87365.65"/>
        <n v="148918.54"/>
        <n v="16766.900000000001"/>
        <n v="95203.63"/>
        <n v="100602.75"/>
        <n v="185654.19"/>
        <n v="70088.070000000007"/>
        <n v="180125.1"/>
        <n v="10632.81"/>
        <n v="198333.52"/>
        <n v="289465.40000000002"/>
        <n v="20640.59"/>
        <n v="269876.25"/>
        <n v="236734.85"/>
        <n v="211914.13"/>
        <n v="21429.42"/>
        <n v="29591.3"/>
        <n v="38290.11"/>
        <n v="109442.38"/>
        <n v="133574.88"/>
        <n v="55733.37"/>
        <n v="25783.19"/>
        <n v="180388.66"/>
        <n v="80101.11"/>
        <n v="72394.95"/>
        <n v="6322.2099999999991"/>
        <n v="141814.19"/>
        <n v="277265.51"/>
        <n v="13277.36"/>
        <n v="47446.73"/>
        <n v="5988.89"/>
        <n v="156982.37"/>
        <n v="72769.52"/>
        <n v="80996.98"/>
        <n v="78666.930000000008"/>
        <n v="102094.41"/>
        <n v="259979.95"/>
        <n v="25229.25"/>
        <n v="27889.09"/>
        <n v="157603.26"/>
        <n v="177886.47"/>
        <n v="61416.27"/>
        <n v="19584.689999999999"/>
        <n v="10535.13"/>
        <n v="270541.59000000003"/>
        <n v="70626.95"/>
        <n v="112394.88"/>
        <n v="18463.73"/>
        <n v="143406.78"/>
        <n v="8938.4500000000007"/>
        <n v="85113.64"/>
        <n v="49122.98"/>
        <n v="142398.18"/>
        <n v="190669.6"/>
        <n v="19660.89"/>
        <n v="121210.64"/>
        <n v="69109.25"/>
        <n v="25252.49"/>
        <n v="192663.75"/>
        <n v="51529.760000000002"/>
        <n v="40439.730000000003"/>
        <n v="191496.15"/>
        <n v="27004.66"/>
        <n v="134271.84"/>
        <n v="22902.54"/>
        <n v="55042.18"/>
        <n v="75211.839999999997"/>
        <n v="66275.179999999993"/>
        <n v="120077.43"/>
        <n v="162687.76999999999"/>
        <n v="113995.04"/>
        <n v="10020.92"/>
        <n v="53404.98"/>
        <n v="121213.33"/>
        <n v="175951.83"/>
        <n v="47216.639999999999"/>
        <n v="80569.279999999999"/>
        <n v="53312.59"/>
        <n v="14058.92"/>
        <n v="11061.48"/>
        <n v="42290.97"/>
        <n v="110599.15"/>
        <n v="48128.44"/>
        <n v="241581.41"/>
        <n v="60821.93"/>
        <n v="53066.1"/>
        <n v="204474.71"/>
        <n v="204363.7"/>
        <n v="101459.89"/>
        <n v="268796.76"/>
        <n v="5324.66"/>
        <n v="230148.12"/>
        <n v="31622.37"/>
        <n v="54689.45"/>
        <n v="211069.16"/>
        <n v="58338.64"/>
        <n v="109448.96000000001"/>
        <n v="127435.42"/>
        <n v="35812.21"/>
        <n v="3825.24"/>
        <n v="2733.09"/>
        <n v="10670.34"/>
        <n v="2771.55"/>
        <n v="107201.7"/>
        <n v="115318.13"/>
        <n v="31701.05"/>
        <n v="129862.9"/>
        <n v="16533.79"/>
        <n v="112099.68"/>
        <n v="28339.73"/>
        <n v="14686.91"/>
        <n v="181600.91"/>
        <n v="57418.94"/>
        <n v="13538.66"/>
        <n v="42769.88"/>
        <n v="150507.35999999999"/>
        <n v="124074.16"/>
        <n v="40878.019999999997"/>
        <n v="69443.53"/>
      </sharedItems>
    </cacheField>
    <cacheField name="Payment_Method" numFmtId="0">
      <sharedItems count="4">
        <s v="Credit Card"/>
        <s v="Debit Card"/>
        <s v="UPI"/>
        <s v="Cash"/>
      </sharedItems>
    </cacheField>
    <cacheField name="Profit" numFmtId="0">
      <sharedItems containsSemiMixedTypes="0" containsString="0" containsNumber="1" containsInteger="1" minValue="405" maxValue="86322"/>
    </cacheField>
    <cacheField name="Customer_Segment" numFmtId="0">
      <sharedItems/>
    </cacheField>
    <cacheField name="Order_Status" numFmtId="0">
      <sharedItems/>
    </cacheField>
    <cacheField name="Delivery_Time_Days" numFmtId="0">
      <sharedItems containsSemiMixedTypes="0" containsString="0" containsNumber="1" containsInteger="1" minValue="1" maxValue="10"/>
    </cacheField>
    <cacheField name="Rating" numFmtId="0">
      <sharedItems containsSemiMixedTypes="0" containsString="0" containsNumber="1" containsInteger="1" minValue="1" maxValue="5"/>
    </cacheField>
    <cacheField name="Sales prformance" numFmtId="0">
      <sharedItems/>
    </cacheField>
    <cacheField name="ordered month"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264109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1"/>
    <s v="2024-03-25"/>
    <s v="Ravi"/>
    <x v="0"/>
    <x v="0"/>
    <x v="0"/>
    <x v="0"/>
    <s v="Sneha"/>
    <x v="0"/>
    <n v="41257"/>
    <x v="0"/>
    <n v="4125.7"/>
    <x v="0"/>
    <x v="0"/>
    <x v="0"/>
    <n v="8911"/>
    <s v="Consumer"/>
    <s v="Delivered"/>
    <n v="6"/>
    <n v="1"/>
    <s v="PROFIT"/>
    <n v="3"/>
  </r>
  <r>
    <n v="2002"/>
    <s v="2024-03-07"/>
    <s v="Divya"/>
    <x v="1"/>
    <x v="1"/>
    <x v="1"/>
    <x v="1"/>
    <s v="Kiran"/>
    <x v="1"/>
    <n v="8777"/>
    <x v="1"/>
    <n v="4388.5"/>
    <x v="1"/>
    <x v="1"/>
    <x v="0"/>
    <n v="8943"/>
    <s v="Consumer"/>
    <s v="Cancelled"/>
    <n v="9"/>
    <n v="4"/>
    <s v="PROFIT"/>
    <n v="3"/>
  </r>
  <r>
    <n v="2003"/>
    <s v="2024-03-10"/>
    <s v="Arun"/>
    <x v="0"/>
    <x v="2"/>
    <x v="1"/>
    <x v="2"/>
    <s v="Rahul"/>
    <x v="2"/>
    <n v="3154"/>
    <x v="2"/>
    <n v="1261.5999999999999"/>
    <x v="2"/>
    <x v="2"/>
    <x v="1"/>
    <n v="2477"/>
    <s v="Consumer"/>
    <s v="Pending"/>
    <n v="5"/>
    <n v="2"/>
    <s v="PROFIT"/>
    <n v="3"/>
  </r>
  <r>
    <n v="2004"/>
    <s v="2024-02-08"/>
    <s v="Ramesh"/>
    <x v="0"/>
    <x v="3"/>
    <x v="2"/>
    <x v="3"/>
    <s v="Kiran"/>
    <x v="3"/>
    <n v="58736"/>
    <x v="3"/>
    <n v="17620.8"/>
    <x v="3"/>
    <x v="3"/>
    <x v="2"/>
    <n v="24211"/>
    <s v="Consumer"/>
    <s v="Delivered"/>
    <n v="5"/>
    <n v="2"/>
    <s v="GOOD SALES"/>
    <n v="2"/>
  </r>
  <r>
    <n v="2005"/>
    <s v="2024-03-16"/>
    <s v="Arun"/>
    <x v="1"/>
    <x v="1"/>
    <x v="1"/>
    <x v="1"/>
    <s v="Sneha"/>
    <x v="1"/>
    <n v="24074"/>
    <x v="4"/>
    <n v="12037"/>
    <x v="4"/>
    <x v="4"/>
    <x v="2"/>
    <n v="32648"/>
    <s v="Corporate"/>
    <s v="Cancelled"/>
    <n v="1"/>
    <n v="4"/>
    <s v="GOOD SALES"/>
    <n v="3"/>
  </r>
  <r>
    <n v="2006"/>
    <s v="2024-01-14"/>
    <s v="Arun"/>
    <x v="0"/>
    <x v="4"/>
    <x v="1"/>
    <x v="1"/>
    <s v="Kiran"/>
    <x v="1"/>
    <n v="52381"/>
    <x v="5"/>
    <n v="26190.5"/>
    <x v="5"/>
    <x v="5"/>
    <x v="1"/>
    <n v="59380"/>
    <s v="Consumer"/>
    <s v="Delivered"/>
    <n v="5"/>
    <n v="3"/>
    <s v="PEAK SALES"/>
    <n v="1"/>
  </r>
  <r>
    <n v="2007"/>
    <s v="2024-02-11"/>
    <s v="Divya"/>
    <x v="1"/>
    <x v="5"/>
    <x v="0"/>
    <x v="0"/>
    <s v="Kiran"/>
    <x v="3"/>
    <n v="16343"/>
    <x v="6"/>
    <n v="4902.8999999999996"/>
    <x v="6"/>
    <x v="6"/>
    <x v="2"/>
    <n v="8399"/>
    <s v="Corporate"/>
    <s v="Cancelled"/>
    <n v="7"/>
    <n v="2"/>
    <s v="AVERAGE SALES"/>
    <n v="2"/>
  </r>
  <r>
    <n v="2008"/>
    <s v="2024-01-16"/>
    <s v="Priya"/>
    <x v="2"/>
    <x v="2"/>
    <x v="1"/>
    <x v="4"/>
    <s v="Amit"/>
    <x v="0"/>
    <n v="44685"/>
    <x v="7"/>
    <n v="4468.5"/>
    <x v="7"/>
    <x v="7"/>
    <x v="3"/>
    <n v="7239"/>
    <s v="Home Office"/>
    <s v="Delivered"/>
    <n v="10"/>
    <n v="1"/>
    <s v="PROFIT"/>
    <n v="1"/>
  </r>
  <r>
    <n v="2009"/>
    <s v="2024-01-23"/>
    <s v="John"/>
    <x v="2"/>
    <x v="4"/>
    <x v="2"/>
    <x v="5"/>
    <s v="Rahul"/>
    <x v="0"/>
    <n v="57712"/>
    <x v="8"/>
    <n v="5771.2"/>
    <x v="8"/>
    <x v="8"/>
    <x v="3"/>
    <n v="16913"/>
    <s v="Home Office"/>
    <s v="Pending"/>
    <n v="1"/>
    <n v="1"/>
    <s v="AVERAGE SALES"/>
    <n v="1"/>
  </r>
  <r>
    <n v="2010"/>
    <s v="2024-04-18"/>
    <s v="Anjali"/>
    <x v="1"/>
    <x v="4"/>
    <x v="0"/>
    <x v="6"/>
    <s v="Sneha"/>
    <x v="4"/>
    <n v="15817"/>
    <x v="9"/>
    <n v="3163.4"/>
    <x v="3"/>
    <x v="9"/>
    <x v="1"/>
    <n v="7490"/>
    <s v="Corporate"/>
    <s v="Pending"/>
    <n v="3"/>
    <n v="1"/>
    <s v="PROFIT"/>
    <n v="4"/>
  </r>
  <r>
    <n v="2011"/>
    <s v="2024-01-29"/>
    <s v="Priya"/>
    <x v="0"/>
    <x v="3"/>
    <x v="0"/>
    <x v="6"/>
    <s v="Kiran"/>
    <x v="3"/>
    <n v="49666"/>
    <x v="10"/>
    <n v="14899.8"/>
    <x v="9"/>
    <x v="10"/>
    <x v="1"/>
    <n v="41943"/>
    <s v="Home Office"/>
    <s v="Delivered"/>
    <n v="2"/>
    <n v="2"/>
    <s v="GOOD SALES"/>
    <n v="1"/>
  </r>
  <r>
    <n v="2012"/>
    <s v="2024-03-14"/>
    <s v="Sara"/>
    <x v="3"/>
    <x v="2"/>
    <x v="2"/>
    <x v="3"/>
    <s v="Amit"/>
    <x v="0"/>
    <n v="3222"/>
    <x v="11"/>
    <n v="322.2"/>
    <x v="10"/>
    <x v="11"/>
    <x v="3"/>
    <n v="787"/>
    <s v="Corporate"/>
    <s v="Cancelled"/>
    <n v="10"/>
    <n v="4"/>
    <s v="PROFIT"/>
    <n v="3"/>
  </r>
  <r>
    <n v="2013"/>
    <s v="2024-03-27"/>
    <s v="Vikram"/>
    <x v="0"/>
    <x v="0"/>
    <x v="2"/>
    <x v="5"/>
    <s v="Kiran"/>
    <x v="4"/>
    <n v="21265"/>
    <x v="12"/>
    <n v="4253"/>
    <x v="11"/>
    <x v="12"/>
    <x v="1"/>
    <n v="6222"/>
    <s v="Home Office"/>
    <s v="Pending"/>
    <n v="8"/>
    <n v="1"/>
    <s v="PROFIT"/>
    <n v="3"/>
  </r>
  <r>
    <n v="2014"/>
    <s v="2024-01-25"/>
    <s v="Priya"/>
    <x v="3"/>
    <x v="3"/>
    <x v="2"/>
    <x v="7"/>
    <s v="Sneha"/>
    <x v="2"/>
    <n v="7802"/>
    <x v="13"/>
    <n v="3120.8"/>
    <x v="12"/>
    <x v="13"/>
    <x v="3"/>
    <n v="3200"/>
    <s v="Consumer"/>
    <s v="Delivered"/>
    <n v="10"/>
    <n v="5"/>
    <s v="PROFIT"/>
    <n v="1"/>
  </r>
  <r>
    <n v="2015"/>
    <s v="2024-03-31"/>
    <s v="Ramesh"/>
    <x v="2"/>
    <x v="6"/>
    <x v="1"/>
    <x v="8"/>
    <s v="Kiran"/>
    <x v="2"/>
    <n v="19250"/>
    <x v="14"/>
    <n v="7700"/>
    <x v="13"/>
    <x v="14"/>
    <x v="1"/>
    <n v="11140"/>
    <s v="Consumer"/>
    <s v="Delivered"/>
    <n v="7"/>
    <n v="1"/>
    <s v="AVERAGE SALES"/>
    <n v="3"/>
  </r>
  <r>
    <n v="2016"/>
    <s v="2024-04-06"/>
    <s v="Arun"/>
    <x v="1"/>
    <x v="2"/>
    <x v="0"/>
    <x v="6"/>
    <s v="Sneha"/>
    <x v="4"/>
    <n v="13714"/>
    <x v="15"/>
    <n v="2742.8"/>
    <x v="14"/>
    <x v="15"/>
    <x v="3"/>
    <n v="3246"/>
    <s v="Consumer"/>
    <s v="Cancelled"/>
    <n v="10"/>
    <n v="2"/>
    <s v="PROFIT"/>
    <n v="4"/>
  </r>
  <r>
    <n v="2017"/>
    <s v="2024-04-01"/>
    <s v="Vikram"/>
    <x v="2"/>
    <x v="2"/>
    <x v="1"/>
    <x v="2"/>
    <s v="Rahul"/>
    <x v="2"/>
    <n v="45694"/>
    <x v="16"/>
    <n v="18277.599999999999"/>
    <x v="15"/>
    <x v="16"/>
    <x v="1"/>
    <n v="49794"/>
    <s v="Consumer"/>
    <s v="Pending"/>
    <n v="4"/>
    <n v="1"/>
    <s v="GOOD SALES"/>
    <n v="4"/>
  </r>
  <r>
    <n v="2018"/>
    <s v="2024-01-06"/>
    <s v="Sara"/>
    <x v="1"/>
    <x v="3"/>
    <x v="0"/>
    <x v="0"/>
    <s v="Sneha"/>
    <x v="2"/>
    <n v="48543"/>
    <x v="17"/>
    <n v="19417.2"/>
    <x v="0"/>
    <x v="17"/>
    <x v="1"/>
    <n v="36053"/>
    <s v="Home Office"/>
    <s v="Delivered"/>
    <n v="5"/>
    <n v="5"/>
    <s v="GOOD SALES"/>
    <n v="1"/>
  </r>
  <r>
    <n v="2019"/>
    <s v="2024-02-18"/>
    <s v="John"/>
    <x v="3"/>
    <x v="3"/>
    <x v="2"/>
    <x v="5"/>
    <s v="Amit"/>
    <x v="1"/>
    <n v="13956"/>
    <x v="18"/>
    <n v="6978"/>
    <x v="16"/>
    <x v="18"/>
    <x v="2"/>
    <n v="7452"/>
    <s v="Corporate"/>
    <s v="Pending"/>
    <n v="5"/>
    <n v="5"/>
    <s v="AVERAGE SALES"/>
    <n v="2"/>
  </r>
  <r>
    <n v="2020"/>
    <s v="2024-01-01"/>
    <s v="Sara"/>
    <x v="0"/>
    <x v="6"/>
    <x v="2"/>
    <x v="3"/>
    <s v="Kiran"/>
    <x v="0"/>
    <n v="49933"/>
    <x v="19"/>
    <n v="4993.3"/>
    <x v="17"/>
    <x v="19"/>
    <x v="3"/>
    <n v="12732"/>
    <s v="Consumer"/>
    <s v="Pending"/>
    <n v="10"/>
    <n v="1"/>
    <s v="PROFIT"/>
    <n v="1"/>
  </r>
  <r>
    <n v="2021"/>
    <s v="2024-03-12"/>
    <s v="Meena"/>
    <x v="1"/>
    <x v="5"/>
    <x v="2"/>
    <x v="5"/>
    <s v="Kiran"/>
    <x v="2"/>
    <n v="30158"/>
    <x v="20"/>
    <n v="12063.2"/>
    <x v="18"/>
    <x v="20"/>
    <x v="1"/>
    <n v="23769"/>
    <s v="Corporate"/>
    <s v="Delivered"/>
    <n v="3"/>
    <n v="3"/>
    <s v="GOOD SALES"/>
    <n v="3"/>
  </r>
  <r>
    <n v="2022"/>
    <s v="2024-03-10"/>
    <s v="Ravi"/>
    <x v="1"/>
    <x v="5"/>
    <x v="0"/>
    <x v="6"/>
    <s v="Sneha"/>
    <x v="3"/>
    <n v="26404"/>
    <x v="21"/>
    <n v="7921.2"/>
    <x v="19"/>
    <x v="21"/>
    <x v="3"/>
    <n v="7987"/>
    <s v="Consumer"/>
    <s v="Delivered"/>
    <n v="5"/>
    <n v="1"/>
    <s v="AVERAGE SALES"/>
    <n v="3"/>
  </r>
  <r>
    <n v="2023"/>
    <s v="2024-03-01"/>
    <s v="Priya"/>
    <x v="0"/>
    <x v="4"/>
    <x v="1"/>
    <x v="4"/>
    <s v="Kiran"/>
    <x v="1"/>
    <n v="44971"/>
    <x v="22"/>
    <n v="22485.5"/>
    <x v="20"/>
    <x v="22"/>
    <x v="0"/>
    <n v="34052"/>
    <s v="Consumer"/>
    <s v="Delivered"/>
    <n v="10"/>
    <n v="1"/>
    <s v="PEAK SALES"/>
    <n v="3"/>
  </r>
  <r>
    <n v="2024"/>
    <s v="2024-01-06"/>
    <s v="Ramesh"/>
    <x v="3"/>
    <x v="1"/>
    <x v="2"/>
    <x v="5"/>
    <s v="Amit"/>
    <x v="1"/>
    <n v="39984"/>
    <x v="23"/>
    <n v="19992"/>
    <x v="21"/>
    <x v="23"/>
    <x v="1"/>
    <n v="52406"/>
    <s v="Home Office"/>
    <s v="Cancelled"/>
    <n v="3"/>
    <n v="4"/>
    <s v="GOOD SALES"/>
    <n v="1"/>
  </r>
  <r>
    <n v="2025"/>
    <s v="2024-01-24"/>
    <s v="Anjali"/>
    <x v="0"/>
    <x v="1"/>
    <x v="0"/>
    <x v="6"/>
    <s v="Sneha"/>
    <x v="4"/>
    <n v="57149"/>
    <x v="24"/>
    <n v="11429.8"/>
    <x v="22"/>
    <x v="24"/>
    <x v="0"/>
    <n v="22316"/>
    <s v="Consumer"/>
    <s v="Delivered"/>
    <n v="9"/>
    <n v="2"/>
    <s v="GOOD SALES"/>
    <n v="1"/>
  </r>
  <r>
    <n v="2026"/>
    <s v="2024-02-03"/>
    <s v="Vikram"/>
    <x v="2"/>
    <x v="1"/>
    <x v="1"/>
    <x v="8"/>
    <s v="Amit"/>
    <x v="4"/>
    <n v="51491"/>
    <x v="25"/>
    <n v="10298.200000000001"/>
    <x v="23"/>
    <x v="25"/>
    <x v="2"/>
    <n v="10117"/>
    <s v="Corporate"/>
    <s v="Pending"/>
    <n v="7"/>
    <n v="5"/>
    <s v="AVERAGE SALES"/>
    <n v="2"/>
  </r>
  <r>
    <n v="2027"/>
    <s v="2024-02-06"/>
    <s v="Vikram"/>
    <x v="3"/>
    <x v="5"/>
    <x v="0"/>
    <x v="0"/>
    <s v="Kiran"/>
    <x v="1"/>
    <n v="37659"/>
    <x v="26"/>
    <n v="18829.5"/>
    <x v="24"/>
    <x v="26"/>
    <x v="3"/>
    <n v="17783"/>
    <s v="Home Office"/>
    <s v="Cancelled"/>
    <n v="5"/>
    <n v="4"/>
    <s v="GOOD SALES"/>
    <n v="2"/>
  </r>
  <r>
    <n v="2028"/>
    <s v="2024-01-12"/>
    <s v="Anjali"/>
    <x v="1"/>
    <x v="2"/>
    <x v="0"/>
    <x v="6"/>
    <s v="Rahul"/>
    <x v="1"/>
    <n v="21744"/>
    <x v="27"/>
    <n v="10872"/>
    <x v="25"/>
    <x v="27"/>
    <x v="0"/>
    <n v="27195"/>
    <s v="Home Office"/>
    <s v="Delivered"/>
    <n v="3"/>
    <n v="5"/>
    <s v="GOOD SALES"/>
    <n v="1"/>
  </r>
  <r>
    <n v="2029"/>
    <s v="2024-04-16"/>
    <s v="Divya"/>
    <x v="1"/>
    <x v="0"/>
    <x v="0"/>
    <x v="9"/>
    <s v="Sneha"/>
    <x v="3"/>
    <n v="46831"/>
    <x v="28"/>
    <n v="14049.3"/>
    <x v="26"/>
    <x v="28"/>
    <x v="1"/>
    <n v="30371"/>
    <s v="Home Office"/>
    <s v="Pending"/>
    <n v="7"/>
    <n v="3"/>
    <s v="GOOD SALES"/>
    <n v="4"/>
  </r>
  <r>
    <n v="2030"/>
    <s v="2024-01-14"/>
    <s v="Anjali"/>
    <x v="1"/>
    <x v="4"/>
    <x v="0"/>
    <x v="9"/>
    <s v="Kiran"/>
    <x v="4"/>
    <n v="17491"/>
    <x v="29"/>
    <n v="3498.2"/>
    <x v="24"/>
    <x v="29"/>
    <x v="1"/>
    <n v="6117"/>
    <s v="Home Office"/>
    <s v="Cancelled"/>
    <n v="5"/>
    <n v="1"/>
    <s v="PROFIT"/>
    <n v="1"/>
  </r>
  <r>
    <n v="2031"/>
    <s v="2024-04-27"/>
    <s v="Divya"/>
    <x v="3"/>
    <x v="1"/>
    <x v="1"/>
    <x v="1"/>
    <s v="Kiran"/>
    <x v="1"/>
    <n v="11737"/>
    <x v="30"/>
    <n v="5868.5"/>
    <x v="27"/>
    <x v="30"/>
    <x v="3"/>
    <n v="10697"/>
    <s v="Consumer"/>
    <s v="Delivered"/>
    <n v="10"/>
    <n v="5"/>
    <s v="AVERAGE SALES"/>
    <n v="4"/>
  </r>
  <r>
    <n v="2032"/>
    <s v="2024-04-09"/>
    <s v="Ramesh"/>
    <x v="3"/>
    <x v="4"/>
    <x v="1"/>
    <x v="1"/>
    <s v="Amit"/>
    <x v="1"/>
    <n v="47983"/>
    <x v="31"/>
    <n v="23991.5"/>
    <x v="28"/>
    <x v="31"/>
    <x v="0"/>
    <n v="69699"/>
    <s v="Corporate"/>
    <s v="Delivered"/>
    <n v="3"/>
    <n v="5"/>
    <s v="PEAK SALES"/>
    <n v="4"/>
  </r>
  <r>
    <n v="2033"/>
    <s v="2024-04-07"/>
    <s v="Priya"/>
    <x v="1"/>
    <x v="6"/>
    <x v="2"/>
    <x v="5"/>
    <s v="Kiran"/>
    <x v="0"/>
    <n v="45942"/>
    <x v="32"/>
    <n v="4594.2"/>
    <x v="29"/>
    <x v="32"/>
    <x v="2"/>
    <n v="4582"/>
    <s v="Consumer"/>
    <s v="Delivered"/>
    <n v="3"/>
    <n v="2"/>
    <s v="PROFIT"/>
    <n v="4"/>
  </r>
  <r>
    <n v="2034"/>
    <s v="2024-03-22"/>
    <s v="Anjali"/>
    <x v="2"/>
    <x v="3"/>
    <x v="1"/>
    <x v="8"/>
    <s v="Sneha"/>
    <x v="2"/>
    <n v="22893"/>
    <x v="33"/>
    <n v="9157.2000000000007"/>
    <x v="30"/>
    <x v="33"/>
    <x v="2"/>
    <n v="12912"/>
    <s v="Consumer"/>
    <s v="Delivered"/>
    <n v="3"/>
    <n v="2"/>
    <s v="AVERAGE SALES"/>
    <n v="3"/>
  </r>
  <r>
    <n v="2035"/>
    <s v="2024-03-17"/>
    <s v="Sara"/>
    <x v="1"/>
    <x v="0"/>
    <x v="0"/>
    <x v="0"/>
    <s v="Kiran"/>
    <x v="0"/>
    <n v="9585"/>
    <x v="34"/>
    <n v="958.5"/>
    <x v="31"/>
    <x v="34"/>
    <x v="0"/>
    <n v="2704"/>
    <s v="Consumer"/>
    <s v="Pending"/>
    <n v="9"/>
    <n v="4"/>
    <s v="PROFIT"/>
    <n v="3"/>
  </r>
  <r>
    <n v="2036"/>
    <s v="2024-02-24"/>
    <s v="Arun"/>
    <x v="3"/>
    <x v="0"/>
    <x v="1"/>
    <x v="8"/>
    <s v="Kiran"/>
    <x v="3"/>
    <n v="42998"/>
    <x v="35"/>
    <n v="12899.4"/>
    <x v="32"/>
    <x v="35"/>
    <x v="1"/>
    <n v="21732"/>
    <s v="Consumer"/>
    <s v="Cancelled"/>
    <n v="1"/>
    <n v="2"/>
    <s v="GOOD SALES"/>
    <n v="2"/>
  </r>
  <r>
    <n v="2037"/>
    <s v="2024-02-04"/>
    <s v="Priya"/>
    <x v="3"/>
    <x v="3"/>
    <x v="2"/>
    <x v="5"/>
    <s v="Amit"/>
    <x v="2"/>
    <n v="31712"/>
    <x v="36"/>
    <n v="12684.8"/>
    <x v="33"/>
    <x v="36"/>
    <x v="3"/>
    <n v="25794"/>
    <s v="Home Office"/>
    <s v="Delivered"/>
    <n v="3"/>
    <n v="2"/>
    <s v="GOOD SALES"/>
    <n v="2"/>
  </r>
  <r>
    <n v="2038"/>
    <s v="2024-03-03"/>
    <s v="Arun"/>
    <x v="2"/>
    <x v="7"/>
    <x v="1"/>
    <x v="2"/>
    <s v="Kiran"/>
    <x v="3"/>
    <n v="24202"/>
    <x v="37"/>
    <n v="7260.6"/>
    <x v="34"/>
    <x v="37"/>
    <x v="1"/>
    <n v="9435"/>
    <s v="Home Office"/>
    <s v="Delivered"/>
    <n v="6"/>
    <n v="2"/>
    <s v="AVERAGE SALES"/>
    <n v="3"/>
  </r>
  <r>
    <n v="2039"/>
    <s v="2024-03-23"/>
    <s v="John"/>
    <x v="0"/>
    <x v="0"/>
    <x v="1"/>
    <x v="1"/>
    <s v="Rahul"/>
    <x v="3"/>
    <n v="36385"/>
    <x v="38"/>
    <n v="10915.5"/>
    <x v="35"/>
    <x v="38"/>
    <x v="2"/>
    <n v="29602"/>
    <s v="Home Office"/>
    <s v="Delivered"/>
    <n v="9"/>
    <n v="1"/>
    <s v="GOOD SALES"/>
    <n v="3"/>
  </r>
  <r>
    <n v="2040"/>
    <s v="2024-02-29"/>
    <s v="Sara"/>
    <x v="2"/>
    <x v="4"/>
    <x v="2"/>
    <x v="5"/>
    <s v="Amit"/>
    <x v="0"/>
    <n v="15741"/>
    <x v="39"/>
    <n v="1574.1"/>
    <x v="36"/>
    <x v="39"/>
    <x v="1"/>
    <n v="1642"/>
    <s v="Corporate"/>
    <s v="Cancelled"/>
    <n v="6"/>
    <n v="3"/>
    <s v="PROFIT"/>
    <n v="2"/>
  </r>
  <r>
    <n v="2041"/>
    <s v="2024-04-05"/>
    <s v="Ramesh"/>
    <x v="2"/>
    <x v="3"/>
    <x v="2"/>
    <x v="7"/>
    <s v="Rahul"/>
    <x v="0"/>
    <n v="39336"/>
    <x v="40"/>
    <n v="3933.6"/>
    <x v="37"/>
    <x v="40"/>
    <x v="0"/>
    <n v="5300"/>
    <s v="Corporate"/>
    <s v="Pending"/>
    <n v="8"/>
    <n v="1"/>
    <s v="PROFIT"/>
    <n v="4"/>
  </r>
  <r>
    <n v="2042"/>
    <s v="2024-02-11"/>
    <s v="Ravi"/>
    <x v="1"/>
    <x v="4"/>
    <x v="2"/>
    <x v="5"/>
    <s v="Sneha"/>
    <x v="4"/>
    <n v="53309"/>
    <x v="41"/>
    <n v="10661.8"/>
    <x v="38"/>
    <x v="41"/>
    <x v="1"/>
    <n v="17581"/>
    <s v="Corporate"/>
    <s v="Delivered"/>
    <n v="2"/>
    <n v="4"/>
    <s v="GOOD SALES"/>
    <n v="2"/>
  </r>
  <r>
    <n v="2043"/>
    <s v="2024-01-10"/>
    <s v="Vikram"/>
    <x v="1"/>
    <x v="1"/>
    <x v="1"/>
    <x v="8"/>
    <s v="Sneha"/>
    <x v="0"/>
    <n v="29952"/>
    <x v="42"/>
    <n v="2995.2"/>
    <x v="39"/>
    <x v="42"/>
    <x v="3"/>
    <n v="4665"/>
    <s v="Home Office"/>
    <s v="Pending"/>
    <n v="7"/>
    <n v="1"/>
    <s v="PROFIT"/>
    <n v="1"/>
  </r>
  <r>
    <n v="2044"/>
    <s v="2024-01-17"/>
    <s v="Ramesh"/>
    <x v="2"/>
    <x v="5"/>
    <x v="2"/>
    <x v="7"/>
    <s v="Amit"/>
    <x v="1"/>
    <n v="22061"/>
    <x v="43"/>
    <n v="11030.5"/>
    <x v="40"/>
    <x v="43"/>
    <x v="3"/>
    <n v="20726"/>
    <s v="Corporate"/>
    <s v="Pending"/>
    <n v="10"/>
    <n v="5"/>
    <s v="GOOD SALES"/>
    <n v="1"/>
  </r>
  <r>
    <n v="2045"/>
    <s v="2024-04-25"/>
    <s v="Meena"/>
    <x v="0"/>
    <x v="4"/>
    <x v="1"/>
    <x v="1"/>
    <s v="Sneha"/>
    <x v="1"/>
    <n v="42574"/>
    <x v="44"/>
    <n v="21287"/>
    <x v="41"/>
    <x v="44"/>
    <x v="2"/>
    <n v="20923"/>
    <s v="Home Office"/>
    <s v="Pending"/>
    <n v="1"/>
    <n v="5"/>
    <s v="PEAK SALES"/>
    <n v="4"/>
  </r>
  <r>
    <n v="2046"/>
    <s v="2024-02-12"/>
    <s v="Ravi"/>
    <x v="3"/>
    <x v="1"/>
    <x v="2"/>
    <x v="5"/>
    <s v="Amit"/>
    <x v="0"/>
    <n v="32302"/>
    <x v="45"/>
    <n v="3230.2"/>
    <x v="42"/>
    <x v="45"/>
    <x v="0"/>
    <n v="7585"/>
    <s v="Home Office"/>
    <s v="Delivered"/>
    <n v="7"/>
    <n v="1"/>
    <s v="PROFIT"/>
    <n v="2"/>
  </r>
  <r>
    <n v="2047"/>
    <s v="2024-04-07"/>
    <s v="Priya"/>
    <x v="0"/>
    <x v="7"/>
    <x v="0"/>
    <x v="6"/>
    <s v="Amit"/>
    <x v="4"/>
    <n v="8818"/>
    <x v="46"/>
    <n v="1763.6"/>
    <x v="43"/>
    <x v="46"/>
    <x v="2"/>
    <n v="5082"/>
    <s v="Home Office"/>
    <s v="Cancelled"/>
    <n v="9"/>
    <n v="4"/>
    <s v="PROFIT"/>
    <n v="4"/>
  </r>
  <r>
    <n v="2048"/>
    <s v="2024-03-12"/>
    <s v="Sara"/>
    <x v="1"/>
    <x v="3"/>
    <x v="2"/>
    <x v="3"/>
    <s v="Amit"/>
    <x v="3"/>
    <n v="546"/>
    <x v="47"/>
    <n v="163.80000000000001"/>
    <x v="44"/>
    <x v="47"/>
    <x v="0"/>
    <n v="500"/>
    <s v="Corporate"/>
    <s v="Cancelled"/>
    <n v="2"/>
    <n v="3"/>
    <s v="PROFIT"/>
    <n v="3"/>
  </r>
  <r>
    <n v="2049"/>
    <s v="2024-04-05"/>
    <s v="Priya"/>
    <x v="3"/>
    <x v="4"/>
    <x v="2"/>
    <x v="5"/>
    <s v="Kiran"/>
    <x v="0"/>
    <n v="14748"/>
    <x v="48"/>
    <n v="1474.8"/>
    <x v="45"/>
    <x v="48"/>
    <x v="2"/>
    <n v="3534"/>
    <s v="Home Office"/>
    <s v="Cancelled"/>
    <n v="3"/>
    <n v="1"/>
    <s v="PROFIT"/>
    <n v="4"/>
  </r>
  <r>
    <n v="2050"/>
    <s v="2024-04-29"/>
    <s v="Vikram"/>
    <x v="3"/>
    <x v="2"/>
    <x v="2"/>
    <x v="3"/>
    <s v="Sneha"/>
    <x v="1"/>
    <n v="18426"/>
    <x v="49"/>
    <n v="9213"/>
    <x v="46"/>
    <x v="49"/>
    <x v="1"/>
    <n v="10887"/>
    <s v="Corporate"/>
    <s v="Cancelled"/>
    <n v="1"/>
    <n v="2"/>
    <s v="AVERAGE SALES"/>
    <n v="4"/>
  </r>
  <r>
    <n v="2051"/>
    <s v="2024-01-21"/>
    <s v="Priya"/>
    <x v="1"/>
    <x v="7"/>
    <x v="0"/>
    <x v="9"/>
    <s v="Sneha"/>
    <x v="3"/>
    <n v="21713"/>
    <x v="50"/>
    <n v="6513.9"/>
    <x v="47"/>
    <x v="50"/>
    <x v="3"/>
    <n v="8099"/>
    <s v="Consumer"/>
    <s v="Pending"/>
    <n v="7"/>
    <n v="4"/>
    <s v="AVERAGE SALES"/>
    <n v="1"/>
  </r>
  <r>
    <n v="2052"/>
    <s v="2024-04-24"/>
    <s v="Ravi"/>
    <x v="0"/>
    <x v="3"/>
    <x v="1"/>
    <x v="4"/>
    <s v="Rahul"/>
    <x v="1"/>
    <n v="23072"/>
    <x v="51"/>
    <n v="11536"/>
    <x v="48"/>
    <x v="51"/>
    <x v="2"/>
    <n v="23633"/>
    <s v="Consumer"/>
    <s v="Delivered"/>
    <n v="2"/>
    <n v="3"/>
    <s v="GOOD SALES"/>
    <n v="4"/>
  </r>
  <r>
    <n v="2053"/>
    <s v="2024-01-08"/>
    <s v="John"/>
    <x v="1"/>
    <x v="2"/>
    <x v="2"/>
    <x v="7"/>
    <s v="Kiran"/>
    <x v="1"/>
    <n v="19854"/>
    <x v="52"/>
    <n v="9927"/>
    <x v="49"/>
    <x v="52"/>
    <x v="3"/>
    <n v="27047"/>
    <s v="Consumer"/>
    <s v="Pending"/>
    <n v="6"/>
    <n v="3"/>
    <s v="AVERAGE SALES"/>
    <n v="1"/>
  </r>
  <r>
    <n v="2054"/>
    <s v="2024-01-19"/>
    <s v="Divya"/>
    <x v="2"/>
    <x v="0"/>
    <x v="2"/>
    <x v="7"/>
    <s v="Rahul"/>
    <x v="0"/>
    <n v="11470"/>
    <x v="53"/>
    <n v="1147"/>
    <x v="50"/>
    <x v="53"/>
    <x v="3"/>
    <n v="2057"/>
    <s v="Consumer"/>
    <s v="Delivered"/>
    <n v="3"/>
    <n v="1"/>
    <s v="PROFIT"/>
    <n v="1"/>
  </r>
  <r>
    <n v="2055"/>
    <s v="2024-01-14"/>
    <s v="Divya"/>
    <x v="0"/>
    <x v="7"/>
    <x v="1"/>
    <x v="2"/>
    <s v="Sneha"/>
    <x v="4"/>
    <n v="9554"/>
    <x v="54"/>
    <n v="1910.8"/>
    <x v="51"/>
    <x v="54"/>
    <x v="1"/>
    <n v="2758"/>
    <s v="Consumer"/>
    <s v="Pending"/>
    <n v="7"/>
    <n v="1"/>
    <s v="PROFIT"/>
    <n v="1"/>
  </r>
  <r>
    <n v="2056"/>
    <s v="2024-03-28"/>
    <s v="Priya"/>
    <x v="0"/>
    <x v="3"/>
    <x v="1"/>
    <x v="2"/>
    <s v="Amit"/>
    <x v="0"/>
    <n v="42858"/>
    <x v="55"/>
    <n v="4285.8"/>
    <x v="52"/>
    <x v="55"/>
    <x v="3"/>
    <n v="6604"/>
    <s v="Corporate"/>
    <s v="Delivered"/>
    <n v="7"/>
    <n v="4"/>
    <s v="PROFIT"/>
    <n v="3"/>
  </r>
  <r>
    <n v="2057"/>
    <s v="2024-04-26"/>
    <s v="Anjali"/>
    <x v="2"/>
    <x v="5"/>
    <x v="2"/>
    <x v="5"/>
    <s v="Amit"/>
    <x v="0"/>
    <n v="47742"/>
    <x v="56"/>
    <n v="4774.2"/>
    <x v="53"/>
    <x v="56"/>
    <x v="3"/>
    <n v="12585"/>
    <s v="Consumer"/>
    <s v="Pending"/>
    <n v="6"/>
    <n v="1"/>
    <s v="PROFIT"/>
    <n v="4"/>
  </r>
  <r>
    <n v="2058"/>
    <s v="2024-02-04"/>
    <s v="Vikram"/>
    <x v="1"/>
    <x v="5"/>
    <x v="2"/>
    <x v="7"/>
    <s v="Sneha"/>
    <x v="1"/>
    <n v="55978"/>
    <x v="57"/>
    <n v="27989"/>
    <x v="54"/>
    <x v="57"/>
    <x v="2"/>
    <n v="54642"/>
    <s v="Corporate"/>
    <s v="Pending"/>
    <n v="4"/>
    <n v="4"/>
    <s v="PEAK SALES"/>
    <n v="2"/>
  </r>
  <r>
    <n v="2059"/>
    <s v="2024-04-23"/>
    <s v="Ravi"/>
    <x v="1"/>
    <x v="6"/>
    <x v="0"/>
    <x v="6"/>
    <s v="Rahul"/>
    <x v="1"/>
    <n v="51432"/>
    <x v="58"/>
    <n v="25716"/>
    <x v="55"/>
    <x v="58"/>
    <x v="2"/>
    <n v="31347"/>
    <s v="Home Office"/>
    <s v="Delivered"/>
    <n v="4"/>
    <n v="4"/>
    <s v="PEAK SALES"/>
    <n v="4"/>
  </r>
  <r>
    <n v="2060"/>
    <s v="2024-02-24"/>
    <s v="Sara"/>
    <x v="1"/>
    <x v="5"/>
    <x v="2"/>
    <x v="7"/>
    <s v="Kiran"/>
    <x v="2"/>
    <n v="13463"/>
    <x v="59"/>
    <n v="5385.2"/>
    <x v="56"/>
    <x v="59"/>
    <x v="0"/>
    <n v="8075"/>
    <s v="Corporate"/>
    <s v="Cancelled"/>
    <n v="4"/>
    <n v="4"/>
    <s v="PROFIT"/>
    <n v="2"/>
  </r>
  <r>
    <n v="2061"/>
    <s v="2024-02-18"/>
    <s v="Meena"/>
    <x v="2"/>
    <x v="7"/>
    <x v="0"/>
    <x v="0"/>
    <s v="Sneha"/>
    <x v="4"/>
    <n v="10903"/>
    <x v="60"/>
    <n v="2180.6"/>
    <x v="57"/>
    <x v="60"/>
    <x v="2"/>
    <n v="5506"/>
    <s v="Corporate"/>
    <s v="Pending"/>
    <n v="4"/>
    <n v="5"/>
    <s v="PROFIT"/>
    <n v="2"/>
  </r>
  <r>
    <n v="2062"/>
    <s v="2024-01-12"/>
    <s v="Anjali"/>
    <x v="0"/>
    <x v="7"/>
    <x v="0"/>
    <x v="6"/>
    <s v="Amit"/>
    <x v="2"/>
    <n v="55456"/>
    <x v="61"/>
    <n v="22182.400000000001"/>
    <x v="58"/>
    <x v="61"/>
    <x v="2"/>
    <n v="29204"/>
    <s v="Consumer"/>
    <s v="Delivered"/>
    <n v="7"/>
    <n v="5"/>
    <s v="PEAK SALES"/>
    <n v="1"/>
  </r>
  <r>
    <n v="2063"/>
    <s v="2024-02-12"/>
    <s v="Meena"/>
    <x v="1"/>
    <x v="7"/>
    <x v="2"/>
    <x v="3"/>
    <s v="Sneha"/>
    <x v="3"/>
    <n v="54385"/>
    <x v="62"/>
    <n v="16315.5"/>
    <x v="59"/>
    <x v="62"/>
    <x v="1"/>
    <n v="19918"/>
    <s v="Consumer"/>
    <s v="Pending"/>
    <n v="8"/>
    <n v="5"/>
    <s v="GOOD SALES"/>
    <n v="2"/>
  </r>
  <r>
    <n v="2064"/>
    <s v="2024-01-01"/>
    <s v="Anjali"/>
    <x v="0"/>
    <x v="3"/>
    <x v="0"/>
    <x v="0"/>
    <s v="Sneha"/>
    <x v="1"/>
    <n v="24626"/>
    <x v="63"/>
    <n v="12313"/>
    <x v="60"/>
    <x v="63"/>
    <x v="3"/>
    <n v="17414"/>
    <s v="Corporate"/>
    <s v="Cancelled"/>
    <n v="8"/>
    <n v="5"/>
    <s v="GOOD SALES"/>
    <n v="1"/>
  </r>
  <r>
    <n v="2065"/>
    <s v="2024-02-23"/>
    <s v="Arun"/>
    <x v="2"/>
    <x v="3"/>
    <x v="0"/>
    <x v="9"/>
    <s v="Sneha"/>
    <x v="1"/>
    <n v="18903"/>
    <x v="64"/>
    <n v="9451.5"/>
    <x v="29"/>
    <x v="64"/>
    <x v="0"/>
    <n v="18777"/>
    <s v="Home Office"/>
    <s v="Pending"/>
    <n v="9"/>
    <n v="4"/>
    <s v="AVERAGE SALES"/>
    <n v="2"/>
  </r>
  <r>
    <n v="2066"/>
    <s v="2024-04-07"/>
    <s v="Ramesh"/>
    <x v="2"/>
    <x v="6"/>
    <x v="2"/>
    <x v="3"/>
    <s v="Amit"/>
    <x v="1"/>
    <n v="2356"/>
    <x v="65"/>
    <n v="1178"/>
    <x v="61"/>
    <x v="65"/>
    <x v="2"/>
    <n v="2613"/>
    <s v="Corporate"/>
    <s v="Pending"/>
    <n v="9"/>
    <n v="2"/>
    <s v="PROFIT"/>
    <n v="4"/>
  </r>
  <r>
    <n v="2067"/>
    <s v="2024-04-07"/>
    <s v="Sara"/>
    <x v="0"/>
    <x v="1"/>
    <x v="2"/>
    <x v="5"/>
    <s v="Sneha"/>
    <x v="4"/>
    <n v="5217"/>
    <x v="66"/>
    <n v="1043.4000000000001"/>
    <x v="62"/>
    <x v="66"/>
    <x v="2"/>
    <n v="2214"/>
    <s v="Home Office"/>
    <s v="Pending"/>
    <n v="7"/>
    <n v="3"/>
    <s v="PROFIT"/>
    <n v="4"/>
  </r>
  <r>
    <n v="2068"/>
    <s v="2024-02-08"/>
    <s v="Anjali"/>
    <x v="0"/>
    <x v="2"/>
    <x v="1"/>
    <x v="2"/>
    <s v="Kiran"/>
    <x v="4"/>
    <n v="1855"/>
    <x v="67"/>
    <n v="371"/>
    <x v="63"/>
    <x v="67"/>
    <x v="1"/>
    <n v="1095"/>
    <s v="Corporate"/>
    <s v="Delivered"/>
    <n v="2"/>
    <n v="1"/>
    <s v="PROFIT"/>
    <n v="2"/>
  </r>
  <r>
    <n v="2069"/>
    <s v="2024-04-02"/>
    <s v="Priya"/>
    <x v="1"/>
    <x v="2"/>
    <x v="2"/>
    <x v="7"/>
    <s v="Kiran"/>
    <x v="1"/>
    <n v="28624"/>
    <x v="68"/>
    <n v="14312"/>
    <x v="64"/>
    <x v="68"/>
    <x v="1"/>
    <n v="31741"/>
    <s v="Consumer"/>
    <s v="Pending"/>
    <n v="6"/>
    <n v="3"/>
    <s v="GOOD SALES"/>
    <n v="4"/>
  </r>
  <r>
    <n v="2070"/>
    <s v="2024-03-13"/>
    <s v="Vikram"/>
    <x v="1"/>
    <x v="2"/>
    <x v="0"/>
    <x v="0"/>
    <s v="Sneha"/>
    <x v="0"/>
    <n v="51974"/>
    <x v="69"/>
    <n v="5197.3999999999996"/>
    <x v="65"/>
    <x v="69"/>
    <x v="0"/>
    <n v="13800"/>
    <s v="Consumer"/>
    <s v="Delivered"/>
    <n v="10"/>
    <n v="3"/>
    <s v="AVERAGE SALES"/>
    <n v="3"/>
  </r>
  <r>
    <n v="2071"/>
    <s v="2024-01-06"/>
    <s v="Ramesh"/>
    <x v="2"/>
    <x v="3"/>
    <x v="0"/>
    <x v="6"/>
    <s v="Amit"/>
    <x v="0"/>
    <n v="11819"/>
    <x v="70"/>
    <n v="1181.9000000000001"/>
    <x v="66"/>
    <x v="70"/>
    <x v="1"/>
    <n v="3465"/>
    <s v="Consumer"/>
    <s v="Pending"/>
    <n v="3"/>
    <n v="5"/>
    <s v="PROFIT"/>
    <n v="1"/>
  </r>
  <r>
    <n v="2072"/>
    <s v="2024-01-08"/>
    <s v="Divya"/>
    <x v="2"/>
    <x v="1"/>
    <x v="2"/>
    <x v="5"/>
    <s v="Sneha"/>
    <x v="4"/>
    <n v="47437"/>
    <x v="71"/>
    <n v="9487.4"/>
    <x v="67"/>
    <x v="71"/>
    <x v="0"/>
    <n v="21093"/>
    <s v="Corporate"/>
    <s v="Pending"/>
    <n v="7"/>
    <n v="1"/>
    <s v="AVERAGE SALES"/>
    <n v="1"/>
  </r>
  <r>
    <n v="2073"/>
    <s v="2024-04-12"/>
    <s v="Ramesh"/>
    <x v="1"/>
    <x v="1"/>
    <x v="2"/>
    <x v="3"/>
    <s v="Rahul"/>
    <x v="1"/>
    <n v="31381"/>
    <x v="72"/>
    <n v="15690.5"/>
    <x v="68"/>
    <x v="72"/>
    <x v="2"/>
    <n v="30170"/>
    <s v="Consumer"/>
    <s v="Cancelled"/>
    <n v="9"/>
    <n v="2"/>
    <s v="GOOD SALES"/>
    <n v="4"/>
  </r>
  <r>
    <n v="2074"/>
    <s v="2024-02-09"/>
    <s v="Arun"/>
    <x v="3"/>
    <x v="7"/>
    <x v="0"/>
    <x v="6"/>
    <s v="Amit"/>
    <x v="1"/>
    <n v="29204"/>
    <x v="73"/>
    <n v="14602"/>
    <x v="69"/>
    <x v="73"/>
    <x v="1"/>
    <n v="34377"/>
    <s v="Consumer"/>
    <s v="Delivered"/>
    <n v="10"/>
    <n v="3"/>
    <s v="GOOD SALES"/>
    <n v="2"/>
  </r>
  <r>
    <n v="2075"/>
    <s v="2024-04-17"/>
    <s v="Ramesh"/>
    <x v="3"/>
    <x v="4"/>
    <x v="0"/>
    <x v="6"/>
    <s v="Sneha"/>
    <x v="2"/>
    <n v="31268"/>
    <x v="74"/>
    <n v="12507.2"/>
    <x v="55"/>
    <x v="74"/>
    <x v="1"/>
    <n v="29326"/>
    <s v="Consumer"/>
    <s v="Pending"/>
    <n v="3"/>
    <n v="4"/>
    <s v="GOOD SALES"/>
    <n v="4"/>
  </r>
  <r>
    <n v="2076"/>
    <s v="2024-04-29"/>
    <s v="Sara"/>
    <x v="0"/>
    <x v="1"/>
    <x v="2"/>
    <x v="5"/>
    <s v="Kiran"/>
    <x v="4"/>
    <n v="12303"/>
    <x v="75"/>
    <n v="2460.6"/>
    <x v="70"/>
    <x v="75"/>
    <x v="3"/>
    <n v="4375"/>
    <s v="Consumer"/>
    <s v="Pending"/>
    <n v="4"/>
    <n v="4"/>
    <s v="PROFIT"/>
    <n v="4"/>
  </r>
  <r>
    <n v="2077"/>
    <s v="2024-01-26"/>
    <s v="Priya"/>
    <x v="2"/>
    <x v="2"/>
    <x v="2"/>
    <x v="5"/>
    <s v="Rahul"/>
    <x v="1"/>
    <n v="59462"/>
    <x v="76"/>
    <n v="29731"/>
    <x v="71"/>
    <x v="76"/>
    <x v="2"/>
    <n v="37306"/>
    <s v="Consumer"/>
    <s v="Pending"/>
    <n v="1"/>
    <n v="4"/>
    <s v="PEAK SALES"/>
    <n v="1"/>
  </r>
  <r>
    <n v="2078"/>
    <s v="2024-03-18"/>
    <s v="Vikram"/>
    <x v="2"/>
    <x v="7"/>
    <x v="1"/>
    <x v="8"/>
    <s v="Amit"/>
    <x v="0"/>
    <n v="50437"/>
    <x v="77"/>
    <n v="5043.7"/>
    <x v="72"/>
    <x v="77"/>
    <x v="3"/>
    <n v="8491"/>
    <s v="Consumer"/>
    <s v="Cancelled"/>
    <n v="1"/>
    <n v="5"/>
    <s v="AVERAGE SALES"/>
    <n v="3"/>
  </r>
  <r>
    <n v="2079"/>
    <s v="2024-03-24"/>
    <s v="Divya"/>
    <x v="2"/>
    <x v="4"/>
    <x v="0"/>
    <x v="6"/>
    <s v="Amit"/>
    <x v="2"/>
    <n v="15456"/>
    <x v="78"/>
    <n v="6182.4"/>
    <x v="20"/>
    <x v="78"/>
    <x v="3"/>
    <n v="9790"/>
    <s v="Consumer"/>
    <s v="Delivered"/>
    <n v="1"/>
    <n v="4"/>
    <s v="AVERAGE SALES"/>
    <n v="3"/>
  </r>
  <r>
    <n v="2080"/>
    <s v="2024-02-23"/>
    <s v="Meena"/>
    <x v="1"/>
    <x v="1"/>
    <x v="2"/>
    <x v="3"/>
    <s v="Rahul"/>
    <x v="3"/>
    <n v="6144"/>
    <x v="79"/>
    <n v="1843.2"/>
    <x v="40"/>
    <x v="79"/>
    <x v="2"/>
    <n v="4059"/>
    <s v="Consumer"/>
    <s v="Cancelled"/>
    <n v="7"/>
    <n v="1"/>
    <s v="PROFIT"/>
    <n v="2"/>
  </r>
  <r>
    <n v="2081"/>
    <s v="2024-02-19"/>
    <s v="Arun"/>
    <x v="2"/>
    <x v="3"/>
    <x v="0"/>
    <x v="9"/>
    <s v="Rahul"/>
    <x v="2"/>
    <n v="54437"/>
    <x v="80"/>
    <n v="21774.799999999999"/>
    <x v="73"/>
    <x v="80"/>
    <x v="0"/>
    <n v="35131"/>
    <s v="Consumer"/>
    <s v="Cancelled"/>
    <n v="7"/>
    <n v="2"/>
    <s v="PEAK SALES"/>
    <n v="2"/>
  </r>
  <r>
    <n v="2082"/>
    <s v="2024-03-24"/>
    <s v="Vikram"/>
    <x v="0"/>
    <x v="1"/>
    <x v="2"/>
    <x v="7"/>
    <s v="Sneha"/>
    <x v="4"/>
    <n v="26976"/>
    <x v="81"/>
    <n v="5395.2"/>
    <x v="74"/>
    <x v="81"/>
    <x v="0"/>
    <n v="8965"/>
    <s v="Consumer"/>
    <s v="Delivered"/>
    <n v="7"/>
    <n v="3"/>
    <s v="AVERAGE SALES"/>
    <n v="3"/>
  </r>
  <r>
    <n v="2083"/>
    <s v="2024-02-23"/>
    <s v="Meena"/>
    <x v="1"/>
    <x v="5"/>
    <x v="2"/>
    <x v="5"/>
    <s v="Rahul"/>
    <x v="2"/>
    <n v="4044"/>
    <x v="82"/>
    <n v="1617.6"/>
    <x v="75"/>
    <x v="82"/>
    <x v="3"/>
    <n v="1886"/>
    <s v="Consumer"/>
    <s v="Pending"/>
    <n v="2"/>
    <n v="2"/>
    <s v="PROFIT"/>
    <n v="2"/>
  </r>
  <r>
    <n v="2084"/>
    <s v="2024-01-31"/>
    <s v="Priya"/>
    <x v="3"/>
    <x v="4"/>
    <x v="2"/>
    <x v="5"/>
    <s v="Kiran"/>
    <x v="1"/>
    <n v="33895"/>
    <x v="83"/>
    <n v="16947.5"/>
    <x v="76"/>
    <x v="83"/>
    <x v="2"/>
    <n v="48665"/>
    <s v="Home Office"/>
    <s v="Delivered"/>
    <n v="9"/>
    <n v="5"/>
    <s v="GOOD SALES"/>
    <n v="1"/>
  </r>
  <r>
    <n v="2085"/>
    <s v="2024-04-09"/>
    <s v="Anjali"/>
    <x v="0"/>
    <x v="3"/>
    <x v="2"/>
    <x v="5"/>
    <s v="Amit"/>
    <x v="3"/>
    <n v="41759"/>
    <x v="84"/>
    <n v="12527.7"/>
    <x v="77"/>
    <x v="84"/>
    <x v="0"/>
    <n v="19795"/>
    <s v="Home Office"/>
    <s v="Delivered"/>
    <n v="9"/>
    <n v="2"/>
    <s v="GOOD SALES"/>
    <n v="4"/>
  </r>
  <r>
    <n v="2086"/>
    <s v="2024-01-17"/>
    <s v="Ramesh"/>
    <x v="2"/>
    <x v="7"/>
    <x v="1"/>
    <x v="2"/>
    <s v="Rahul"/>
    <x v="0"/>
    <n v="49622"/>
    <x v="85"/>
    <n v="4962.2"/>
    <x v="78"/>
    <x v="85"/>
    <x v="2"/>
    <n v="6264"/>
    <s v="Home Office"/>
    <s v="Cancelled"/>
    <n v="3"/>
    <n v="3"/>
    <s v="PROFIT"/>
    <n v="1"/>
  </r>
  <r>
    <n v="2087"/>
    <s v="2024-02-24"/>
    <s v="John"/>
    <x v="1"/>
    <x v="5"/>
    <x v="0"/>
    <x v="6"/>
    <s v="Kiran"/>
    <x v="3"/>
    <n v="25054"/>
    <x v="86"/>
    <n v="7516.2"/>
    <x v="79"/>
    <x v="86"/>
    <x v="0"/>
    <n v="11048"/>
    <s v="Corporate"/>
    <s v="Cancelled"/>
    <n v="5"/>
    <n v="4"/>
    <s v="AVERAGE SALES"/>
    <n v="2"/>
  </r>
  <r>
    <n v="2088"/>
    <s v="2024-04-17"/>
    <s v="Vikram"/>
    <x v="2"/>
    <x v="7"/>
    <x v="0"/>
    <x v="6"/>
    <s v="Amit"/>
    <x v="4"/>
    <n v="25648"/>
    <x v="87"/>
    <n v="5129.6000000000004"/>
    <x v="80"/>
    <x v="87"/>
    <x v="0"/>
    <n v="15951"/>
    <s v="Corporate"/>
    <s v="Pending"/>
    <n v="2"/>
    <n v="4"/>
    <s v="AVERAGE SALES"/>
    <n v="4"/>
  </r>
  <r>
    <n v="2089"/>
    <s v="2024-04-26"/>
    <s v="Vikram"/>
    <x v="3"/>
    <x v="2"/>
    <x v="2"/>
    <x v="5"/>
    <s v="Amit"/>
    <x v="0"/>
    <n v="2141"/>
    <x v="88"/>
    <n v="214.1"/>
    <x v="81"/>
    <x v="88"/>
    <x v="3"/>
    <n v="624"/>
    <s v="Home Office"/>
    <s v="Delivered"/>
    <n v="4"/>
    <n v="1"/>
    <s v="PROFIT"/>
    <n v="4"/>
  </r>
  <r>
    <n v="2090"/>
    <s v="2024-03-21"/>
    <s v="Anjali"/>
    <x v="3"/>
    <x v="3"/>
    <x v="1"/>
    <x v="8"/>
    <s v="Amit"/>
    <x v="1"/>
    <n v="58717"/>
    <x v="89"/>
    <n v="29358.5"/>
    <x v="82"/>
    <x v="89"/>
    <x v="3"/>
    <n v="40694"/>
    <s v="Corporate"/>
    <s v="Pending"/>
    <n v="5"/>
    <n v="4"/>
    <s v="PEAK SALES"/>
    <n v="3"/>
  </r>
  <r>
    <n v="2091"/>
    <s v="2024-03-01"/>
    <s v="Anjali"/>
    <x v="1"/>
    <x v="2"/>
    <x v="0"/>
    <x v="0"/>
    <s v="Sneha"/>
    <x v="1"/>
    <n v="29809"/>
    <x v="90"/>
    <n v="14904.5"/>
    <x v="83"/>
    <x v="90"/>
    <x v="3"/>
    <n v="40356"/>
    <s v="Home Office"/>
    <s v="Cancelled"/>
    <n v="6"/>
    <n v="4"/>
    <s v="GOOD SALES"/>
    <n v="3"/>
  </r>
  <r>
    <n v="2092"/>
    <s v="2024-01-01"/>
    <s v="Ravi"/>
    <x v="2"/>
    <x v="7"/>
    <x v="0"/>
    <x v="6"/>
    <s v="Amit"/>
    <x v="2"/>
    <n v="5324"/>
    <x v="91"/>
    <n v="2129.6"/>
    <x v="60"/>
    <x v="91"/>
    <x v="3"/>
    <n v="5469"/>
    <s v="Home Office"/>
    <s v="Pending"/>
    <n v="10"/>
    <n v="5"/>
    <s v="PROFIT"/>
    <n v="1"/>
  </r>
  <r>
    <n v="2093"/>
    <s v="2024-01-22"/>
    <s v="Vikram"/>
    <x v="2"/>
    <x v="4"/>
    <x v="1"/>
    <x v="4"/>
    <s v="Kiran"/>
    <x v="3"/>
    <n v="8120"/>
    <x v="92"/>
    <n v="2436"/>
    <x v="84"/>
    <x v="92"/>
    <x v="3"/>
    <n v="3523"/>
    <s v="Corporate"/>
    <s v="Delivered"/>
    <n v="2"/>
    <n v="5"/>
    <s v="PROFIT"/>
    <n v="1"/>
  </r>
  <r>
    <n v="2094"/>
    <s v="2024-01-06"/>
    <s v="Ramesh"/>
    <x v="0"/>
    <x v="6"/>
    <x v="1"/>
    <x v="8"/>
    <s v="Kiran"/>
    <x v="4"/>
    <n v="41691"/>
    <x v="93"/>
    <n v="8338.2000000000007"/>
    <x v="78"/>
    <x v="93"/>
    <x v="3"/>
    <n v="22603"/>
    <s v="Consumer"/>
    <s v="Delivered"/>
    <n v="10"/>
    <n v="5"/>
    <s v="AVERAGE SALES"/>
    <n v="1"/>
  </r>
  <r>
    <n v="2095"/>
    <s v="2024-01-18"/>
    <s v="John"/>
    <x v="2"/>
    <x v="2"/>
    <x v="1"/>
    <x v="1"/>
    <s v="Rahul"/>
    <x v="3"/>
    <n v="58641"/>
    <x v="94"/>
    <n v="17592.3"/>
    <x v="85"/>
    <x v="94"/>
    <x v="3"/>
    <n v="28682"/>
    <s v="Home Office"/>
    <s v="Pending"/>
    <n v="3"/>
    <n v="2"/>
    <s v="GOOD SALES"/>
    <n v="1"/>
  </r>
  <r>
    <n v="2096"/>
    <s v="2024-01-19"/>
    <s v="Arun"/>
    <x v="2"/>
    <x v="6"/>
    <x v="2"/>
    <x v="7"/>
    <s v="Amit"/>
    <x v="2"/>
    <n v="3583"/>
    <x v="95"/>
    <n v="1433.2"/>
    <x v="86"/>
    <x v="95"/>
    <x v="3"/>
    <n v="3003"/>
    <s v="Home Office"/>
    <s v="Pending"/>
    <n v="2"/>
    <n v="4"/>
    <s v="PROFIT"/>
    <n v="1"/>
  </r>
  <r>
    <n v="2097"/>
    <s v="2024-02-27"/>
    <s v="Anjali"/>
    <x v="2"/>
    <x v="5"/>
    <x v="2"/>
    <x v="5"/>
    <s v="Rahul"/>
    <x v="1"/>
    <n v="11681"/>
    <x v="96"/>
    <n v="5840.5"/>
    <x v="87"/>
    <x v="96"/>
    <x v="2"/>
    <n v="12598"/>
    <s v="Consumer"/>
    <s v="Cancelled"/>
    <n v="9"/>
    <n v="5"/>
    <s v="AVERAGE SALES"/>
    <n v="2"/>
  </r>
  <r>
    <n v="2098"/>
    <s v="2024-04-06"/>
    <s v="Sara"/>
    <x v="2"/>
    <x v="2"/>
    <x v="1"/>
    <x v="8"/>
    <s v="Kiran"/>
    <x v="2"/>
    <n v="52636"/>
    <x v="97"/>
    <n v="21054.400000000001"/>
    <x v="88"/>
    <x v="97"/>
    <x v="2"/>
    <n v="31353"/>
    <s v="Consumer"/>
    <s v="Delivered"/>
    <n v="1"/>
    <n v="1"/>
    <s v="PEAK SALES"/>
    <n v="4"/>
  </r>
  <r>
    <n v="2099"/>
    <s v="2024-03-14"/>
    <s v="Sara"/>
    <x v="1"/>
    <x v="1"/>
    <x v="0"/>
    <x v="9"/>
    <s v="Kiran"/>
    <x v="0"/>
    <n v="22373"/>
    <x v="98"/>
    <n v="2237.3000000000002"/>
    <x v="89"/>
    <x v="98"/>
    <x v="3"/>
    <n v="3012"/>
    <s v="Consumer"/>
    <s v="Delivered"/>
    <n v="6"/>
    <n v="4"/>
    <s v="PROFIT"/>
    <n v="3"/>
  </r>
  <r>
    <n v="2100"/>
    <s v="2024-03-28"/>
    <s v="Ramesh"/>
    <x v="0"/>
    <x v="3"/>
    <x v="0"/>
    <x v="9"/>
    <s v="Sneha"/>
    <x v="0"/>
    <n v="24495"/>
    <x v="99"/>
    <n v="2449.5"/>
    <x v="90"/>
    <x v="99"/>
    <x v="2"/>
    <n v="7384"/>
    <s v="Home Office"/>
    <s v="Delivered"/>
    <n v="1"/>
    <n v="3"/>
    <s v="PROFIT"/>
    <n v="3"/>
  </r>
  <r>
    <n v="2101"/>
    <s v="2024-01-13"/>
    <s v="Sara"/>
    <x v="3"/>
    <x v="6"/>
    <x v="0"/>
    <x v="9"/>
    <s v="Rahul"/>
    <x v="1"/>
    <n v="29395"/>
    <x v="100"/>
    <n v="14697.5"/>
    <x v="91"/>
    <x v="100"/>
    <x v="2"/>
    <n v="38371"/>
    <s v="Corporate"/>
    <s v="Delivered"/>
    <n v="7"/>
    <n v="1"/>
    <s v="GOOD SALES"/>
    <n v="1"/>
  </r>
  <r>
    <n v="2102"/>
    <s v="2024-03-18"/>
    <s v="Meena"/>
    <x v="2"/>
    <x v="1"/>
    <x v="0"/>
    <x v="0"/>
    <s v="Amit"/>
    <x v="1"/>
    <n v="9326"/>
    <x v="101"/>
    <n v="4663"/>
    <x v="92"/>
    <x v="101"/>
    <x v="1"/>
    <n v="5446"/>
    <s v="Corporate"/>
    <s v="Cancelled"/>
    <n v="9"/>
    <n v="1"/>
    <s v="PROFIT"/>
    <n v="3"/>
  </r>
  <r>
    <n v="2103"/>
    <s v="2024-01-13"/>
    <s v="Ramesh"/>
    <x v="0"/>
    <x v="5"/>
    <x v="2"/>
    <x v="3"/>
    <s v="Amit"/>
    <x v="3"/>
    <n v="42623"/>
    <x v="102"/>
    <n v="12786.9"/>
    <x v="93"/>
    <x v="102"/>
    <x v="0"/>
    <n v="32355"/>
    <s v="Corporate"/>
    <s v="Delivered"/>
    <n v="7"/>
    <n v="5"/>
    <s v="GOOD SALES"/>
    <n v="1"/>
  </r>
  <r>
    <n v="2104"/>
    <s v="2024-02-12"/>
    <s v="Anjali"/>
    <x v="3"/>
    <x v="7"/>
    <x v="2"/>
    <x v="7"/>
    <s v="Sneha"/>
    <x v="2"/>
    <n v="20909"/>
    <x v="103"/>
    <n v="8363.6"/>
    <x v="94"/>
    <x v="103"/>
    <x v="1"/>
    <n v="22933"/>
    <s v="Corporate"/>
    <s v="Delivered"/>
    <n v="6"/>
    <n v="3"/>
    <s v="AVERAGE SALES"/>
    <n v="2"/>
  </r>
  <r>
    <n v="2105"/>
    <s v="2024-04-25"/>
    <s v="Ramesh"/>
    <x v="2"/>
    <x v="5"/>
    <x v="2"/>
    <x v="5"/>
    <s v="Rahul"/>
    <x v="1"/>
    <n v="23361"/>
    <x v="104"/>
    <n v="11680.5"/>
    <x v="95"/>
    <x v="104"/>
    <x v="2"/>
    <n v="20121"/>
    <s v="Consumer"/>
    <s v="Pending"/>
    <n v="4"/>
    <n v="1"/>
    <s v="GOOD SALES"/>
    <n v="4"/>
  </r>
  <r>
    <n v="2106"/>
    <s v="2024-03-12"/>
    <s v="Priya"/>
    <x v="0"/>
    <x v="4"/>
    <x v="2"/>
    <x v="3"/>
    <s v="Kiran"/>
    <x v="0"/>
    <n v="25382"/>
    <x v="105"/>
    <n v="2538.1999999999998"/>
    <x v="96"/>
    <x v="105"/>
    <x v="2"/>
    <n v="5121"/>
    <s v="Corporate"/>
    <s v="Delivered"/>
    <n v="3"/>
    <n v="4"/>
    <s v="PROFIT"/>
    <n v="3"/>
  </r>
  <r>
    <n v="2107"/>
    <s v="2024-03-06"/>
    <s v="Arun"/>
    <x v="2"/>
    <x v="4"/>
    <x v="2"/>
    <x v="5"/>
    <s v="Amit"/>
    <x v="2"/>
    <n v="27915"/>
    <x v="106"/>
    <n v="11166"/>
    <x v="97"/>
    <x v="106"/>
    <x v="2"/>
    <n v="29570"/>
    <s v="Corporate"/>
    <s v="Delivered"/>
    <n v="6"/>
    <n v="2"/>
    <s v="GOOD SALES"/>
    <n v="3"/>
  </r>
  <r>
    <n v="2108"/>
    <s v="2024-02-25"/>
    <s v="Ravi"/>
    <x v="0"/>
    <x v="2"/>
    <x v="2"/>
    <x v="3"/>
    <s v="Rahul"/>
    <x v="2"/>
    <n v="2248"/>
    <x v="107"/>
    <n v="899.2"/>
    <x v="98"/>
    <x v="107"/>
    <x v="1"/>
    <n v="2201"/>
    <s v="Home Office"/>
    <s v="Cancelled"/>
    <n v="5"/>
    <n v="5"/>
    <s v="PROFIT"/>
    <n v="2"/>
  </r>
  <r>
    <n v="2109"/>
    <s v="2024-03-18"/>
    <s v="Divya"/>
    <x v="1"/>
    <x v="0"/>
    <x v="0"/>
    <x v="9"/>
    <s v="Sneha"/>
    <x v="1"/>
    <n v="18744"/>
    <x v="108"/>
    <n v="9372"/>
    <x v="99"/>
    <x v="108"/>
    <x v="2"/>
    <n v="20942"/>
    <s v="Home Office"/>
    <s v="Pending"/>
    <n v="6"/>
    <n v="3"/>
    <s v="AVERAGE SALES"/>
    <n v="3"/>
  </r>
  <r>
    <n v="2110"/>
    <s v="2024-03-03"/>
    <s v="Meena"/>
    <x v="1"/>
    <x v="7"/>
    <x v="0"/>
    <x v="0"/>
    <s v="Kiran"/>
    <x v="3"/>
    <n v="34934"/>
    <x v="109"/>
    <n v="10480.200000000001"/>
    <x v="100"/>
    <x v="109"/>
    <x v="1"/>
    <n v="24821"/>
    <s v="Corporate"/>
    <s v="Cancelled"/>
    <n v="10"/>
    <n v="3"/>
    <s v="GOOD SALES"/>
    <n v="3"/>
  </r>
  <r>
    <n v="2111"/>
    <s v="2024-03-15"/>
    <s v="Ramesh"/>
    <x v="3"/>
    <x v="0"/>
    <x v="2"/>
    <x v="7"/>
    <s v="Rahul"/>
    <x v="4"/>
    <n v="33398"/>
    <x v="110"/>
    <n v="6679.6"/>
    <x v="101"/>
    <x v="110"/>
    <x v="0"/>
    <n v="14558"/>
    <s v="Home Office"/>
    <s v="Delivered"/>
    <n v="2"/>
    <n v="1"/>
    <s v="AVERAGE SALES"/>
    <n v="3"/>
  </r>
  <r>
    <n v="2112"/>
    <s v="2024-01-24"/>
    <s v="Meena"/>
    <x v="2"/>
    <x v="1"/>
    <x v="2"/>
    <x v="5"/>
    <s v="Kiran"/>
    <x v="0"/>
    <n v="55320"/>
    <x v="111"/>
    <n v="5532"/>
    <x v="102"/>
    <x v="111"/>
    <x v="2"/>
    <n v="13434"/>
    <s v="Consumer"/>
    <s v="Cancelled"/>
    <n v="3"/>
    <n v="4"/>
    <s v="AVERAGE SALES"/>
    <n v="1"/>
  </r>
  <r>
    <n v="2113"/>
    <s v="2024-01-19"/>
    <s v="Divya"/>
    <x v="0"/>
    <x v="2"/>
    <x v="0"/>
    <x v="6"/>
    <s v="Rahul"/>
    <x v="0"/>
    <n v="4790"/>
    <x v="112"/>
    <n v="479"/>
    <x v="103"/>
    <x v="112"/>
    <x v="2"/>
    <n v="1152"/>
    <s v="Corporate"/>
    <s v="Pending"/>
    <n v="7"/>
    <n v="3"/>
    <s v="PROFIT"/>
    <n v="1"/>
  </r>
  <r>
    <n v="2114"/>
    <s v="2024-02-25"/>
    <s v="Vikram"/>
    <x v="2"/>
    <x v="7"/>
    <x v="0"/>
    <x v="9"/>
    <s v="Rahul"/>
    <x v="1"/>
    <n v="53041"/>
    <x v="113"/>
    <n v="26520.5"/>
    <x v="104"/>
    <x v="113"/>
    <x v="3"/>
    <n v="70302"/>
    <s v="Corporate"/>
    <s v="Delivered"/>
    <n v="5"/>
    <n v="4"/>
    <s v="PEAK SALES"/>
    <n v="2"/>
  </r>
  <r>
    <n v="2115"/>
    <s v="2024-02-07"/>
    <s v="Meena"/>
    <x v="0"/>
    <x v="7"/>
    <x v="0"/>
    <x v="6"/>
    <s v="Amit"/>
    <x v="0"/>
    <n v="34664"/>
    <x v="114"/>
    <n v="3466.4"/>
    <x v="105"/>
    <x v="114"/>
    <x v="3"/>
    <n v="8289"/>
    <s v="Consumer"/>
    <s v="Delivered"/>
    <n v="9"/>
    <n v="1"/>
    <s v="PROFIT"/>
    <n v="2"/>
  </r>
  <r>
    <n v="2116"/>
    <s v="2024-03-22"/>
    <s v="Ravi"/>
    <x v="0"/>
    <x v="1"/>
    <x v="1"/>
    <x v="8"/>
    <s v="Amit"/>
    <x v="2"/>
    <n v="31591"/>
    <x v="115"/>
    <n v="12636.4"/>
    <x v="106"/>
    <x v="115"/>
    <x v="0"/>
    <n v="31003"/>
    <s v="Consumer"/>
    <s v="Delivered"/>
    <n v="10"/>
    <n v="3"/>
    <s v="GOOD SALES"/>
    <n v="3"/>
  </r>
  <r>
    <n v="2117"/>
    <s v="2024-03-19"/>
    <s v="Anjali"/>
    <x v="3"/>
    <x v="6"/>
    <x v="1"/>
    <x v="8"/>
    <s v="Amit"/>
    <x v="2"/>
    <n v="22511"/>
    <x v="116"/>
    <n v="9004.4"/>
    <x v="107"/>
    <x v="116"/>
    <x v="0"/>
    <n v="23646"/>
    <s v="Corporate"/>
    <s v="Delivered"/>
    <n v="3"/>
    <n v="4"/>
    <s v="AVERAGE SALES"/>
    <n v="3"/>
  </r>
  <r>
    <n v="2118"/>
    <s v="2024-02-14"/>
    <s v="Sara"/>
    <x v="1"/>
    <x v="1"/>
    <x v="1"/>
    <x v="1"/>
    <s v="Kiran"/>
    <x v="0"/>
    <n v="19599"/>
    <x v="117"/>
    <n v="1959.9"/>
    <x v="108"/>
    <x v="117"/>
    <x v="0"/>
    <n v="2993"/>
    <s v="Home Office"/>
    <s v="Cancelled"/>
    <n v="9"/>
    <n v="5"/>
    <s v="PROFIT"/>
    <n v="2"/>
  </r>
  <r>
    <n v="2119"/>
    <s v="2024-01-17"/>
    <s v="Ramesh"/>
    <x v="1"/>
    <x v="6"/>
    <x v="0"/>
    <x v="0"/>
    <s v="Sneha"/>
    <x v="2"/>
    <n v="33572"/>
    <x v="118"/>
    <n v="13428.8"/>
    <x v="109"/>
    <x v="118"/>
    <x v="1"/>
    <n v="21955"/>
    <s v="Consumer"/>
    <s v="Delivered"/>
    <n v="8"/>
    <n v="3"/>
    <s v="GOOD SALES"/>
    <n v="1"/>
  </r>
  <r>
    <n v="2120"/>
    <s v="2024-03-18"/>
    <s v="Ramesh"/>
    <x v="3"/>
    <x v="0"/>
    <x v="1"/>
    <x v="8"/>
    <s v="Sneha"/>
    <x v="0"/>
    <n v="4703"/>
    <x v="119"/>
    <n v="470.3"/>
    <x v="110"/>
    <x v="119"/>
    <x v="2"/>
    <n v="1456"/>
    <s v="Consumer"/>
    <s v="Pending"/>
    <n v="3"/>
    <n v="3"/>
    <s v="PROFIT"/>
    <n v="3"/>
  </r>
  <r>
    <n v="2121"/>
    <s v="2024-01-02"/>
    <s v="Arun"/>
    <x v="0"/>
    <x v="2"/>
    <x v="2"/>
    <x v="7"/>
    <s v="Rahul"/>
    <x v="3"/>
    <n v="35013"/>
    <x v="120"/>
    <n v="10503.9"/>
    <x v="111"/>
    <x v="120"/>
    <x v="3"/>
    <n v="13895"/>
    <s v="Consumer"/>
    <s v="Delivered"/>
    <n v="5"/>
    <n v="2"/>
    <s v="GOOD SALES"/>
    <n v="1"/>
  </r>
  <r>
    <n v="2122"/>
    <s v="2024-01-09"/>
    <s v="Meena"/>
    <x v="1"/>
    <x v="3"/>
    <x v="1"/>
    <x v="1"/>
    <s v="Rahul"/>
    <x v="0"/>
    <n v="24951"/>
    <x v="121"/>
    <n v="2495.1"/>
    <x v="55"/>
    <x v="121"/>
    <x v="1"/>
    <n v="6884"/>
    <s v="Consumer"/>
    <s v="Cancelled"/>
    <n v="7"/>
    <n v="1"/>
    <s v="PROFIT"/>
    <n v="1"/>
  </r>
  <r>
    <n v="2123"/>
    <s v="2024-02-13"/>
    <s v="John"/>
    <x v="2"/>
    <x v="4"/>
    <x v="1"/>
    <x v="8"/>
    <s v="Kiran"/>
    <x v="1"/>
    <n v="4324"/>
    <x v="122"/>
    <n v="2162"/>
    <x v="112"/>
    <x v="122"/>
    <x v="0"/>
    <n v="6077"/>
    <s v="Corporate"/>
    <s v="Cancelled"/>
    <n v="5"/>
    <n v="2"/>
    <s v="PROFIT"/>
    <n v="2"/>
  </r>
  <r>
    <n v="2124"/>
    <s v="2024-02-14"/>
    <s v="Priya"/>
    <x v="1"/>
    <x v="5"/>
    <x v="0"/>
    <x v="0"/>
    <s v="Rahul"/>
    <x v="1"/>
    <n v="49723"/>
    <x v="123"/>
    <n v="24861.5"/>
    <x v="81"/>
    <x v="123"/>
    <x v="3"/>
    <n v="46497"/>
    <s v="Home Office"/>
    <s v="Delivered"/>
    <n v="2"/>
    <n v="3"/>
    <s v="PEAK SALES"/>
    <n v="2"/>
  </r>
  <r>
    <n v="2125"/>
    <s v="2024-03-09"/>
    <s v="Arun"/>
    <x v="1"/>
    <x v="4"/>
    <x v="0"/>
    <x v="0"/>
    <s v="Amit"/>
    <x v="2"/>
    <n v="26447"/>
    <x v="124"/>
    <n v="10578.8"/>
    <x v="113"/>
    <x v="124"/>
    <x v="0"/>
    <n v="15377"/>
    <s v="Corporate"/>
    <s v="Cancelled"/>
    <n v="9"/>
    <n v="4"/>
    <s v="GOOD SALES"/>
    <n v="3"/>
  </r>
  <r>
    <n v="2126"/>
    <s v="2024-01-12"/>
    <s v="Vikram"/>
    <x v="2"/>
    <x v="0"/>
    <x v="2"/>
    <x v="7"/>
    <s v="Amit"/>
    <x v="2"/>
    <n v="2289"/>
    <x v="125"/>
    <n v="915.6"/>
    <x v="2"/>
    <x v="125"/>
    <x v="1"/>
    <n v="2567"/>
    <s v="Consumer"/>
    <s v="Pending"/>
    <n v="3"/>
    <n v="2"/>
    <s v="PROFIT"/>
    <n v="1"/>
  </r>
  <r>
    <n v="2127"/>
    <s v="2024-02-19"/>
    <s v="Ramesh"/>
    <x v="0"/>
    <x v="4"/>
    <x v="1"/>
    <x v="8"/>
    <s v="Amit"/>
    <x v="1"/>
    <n v="1466"/>
    <x v="126"/>
    <n v="733"/>
    <x v="114"/>
    <x v="126"/>
    <x v="3"/>
    <n v="1458"/>
    <s v="Consumer"/>
    <s v="Delivered"/>
    <n v="6"/>
    <n v="1"/>
    <s v="PROFIT"/>
    <n v="2"/>
  </r>
  <r>
    <n v="2128"/>
    <s v="2024-01-06"/>
    <s v="Ramesh"/>
    <x v="3"/>
    <x v="7"/>
    <x v="0"/>
    <x v="0"/>
    <s v="Rahul"/>
    <x v="2"/>
    <n v="17279"/>
    <x v="127"/>
    <n v="6911.6"/>
    <x v="115"/>
    <x v="127"/>
    <x v="3"/>
    <n v="8039"/>
    <s v="Consumer"/>
    <s v="Delivered"/>
    <n v="7"/>
    <n v="1"/>
    <s v="AVERAGE SALES"/>
    <n v="1"/>
  </r>
  <r>
    <n v="2129"/>
    <s v="2024-03-09"/>
    <s v="Arun"/>
    <x v="2"/>
    <x v="2"/>
    <x v="0"/>
    <x v="6"/>
    <s v="Kiran"/>
    <x v="0"/>
    <n v="8832"/>
    <x v="128"/>
    <n v="883.2"/>
    <x v="116"/>
    <x v="128"/>
    <x v="1"/>
    <n v="1379"/>
    <s v="Corporate"/>
    <s v="Cancelled"/>
    <n v="10"/>
    <n v="3"/>
    <s v="PROFIT"/>
    <n v="3"/>
  </r>
  <r>
    <n v="2130"/>
    <s v="2024-04-09"/>
    <s v="Divya"/>
    <x v="2"/>
    <x v="6"/>
    <x v="2"/>
    <x v="3"/>
    <s v="Rahul"/>
    <x v="0"/>
    <n v="8942"/>
    <x v="129"/>
    <n v="894.2"/>
    <x v="117"/>
    <x v="129"/>
    <x v="0"/>
    <n v="1750"/>
    <s v="Home Office"/>
    <s v="Delivered"/>
    <n v="2"/>
    <n v="1"/>
    <s v="PROFIT"/>
    <n v="4"/>
  </r>
  <r>
    <n v="2131"/>
    <s v="2024-01-06"/>
    <s v="Sara"/>
    <x v="0"/>
    <x v="1"/>
    <x v="0"/>
    <x v="0"/>
    <s v="Kiran"/>
    <x v="3"/>
    <n v="14387"/>
    <x v="130"/>
    <n v="4316.1000000000004"/>
    <x v="112"/>
    <x v="130"/>
    <x v="1"/>
    <n v="7186"/>
    <s v="Corporate"/>
    <s v="Pending"/>
    <n v="1"/>
    <n v="4"/>
    <s v="PROFIT"/>
    <n v="1"/>
  </r>
  <r>
    <n v="2132"/>
    <s v="2024-03-14"/>
    <s v="Priya"/>
    <x v="2"/>
    <x v="4"/>
    <x v="1"/>
    <x v="1"/>
    <s v="Sneha"/>
    <x v="0"/>
    <n v="33335"/>
    <x v="131"/>
    <n v="3333.5"/>
    <x v="118"/>
    <x v="131"/>
    <x v="2"/>
    <n v="5142"/>
    <s v="Home Office"/>
    <s v="Cancelled"/>
    <n v="7"/>
    <n v="4"/>
    <s v="PROFIT"/>
    <n v="3"/>
  </r>
  <r>
    <n v="2133"/>
    <s v="2024-03-23"/>
    <s v="Meena"/>
    <x v="1"/>
    <x v="1"/>
    <x v="2"/>
    <x v="3"/>
    <s v="Sneha"/>
    <x v="3"/>
    <n v="57439"/>
    <x v="132"/>
    <n v="17231.7"/>
    <x v="119"/>
    <x v="132"/>
    <x v="3"/>
    <n v="25841"/>
    <s v="Consumer"/>
    <s v="Cancelled"/>
    <n v="3"/>
    <n v="5"/>
    <s v="GOOD SALES"/>
    <n v="3"/>
  </r>
  <r>
    <n v="2134"/>
    <s v="2024-04-24"/>
    <s v="John"/>
    <x v="3"/>
    <x v="7"/>
    <x v="2"/>
    <x v="5"/>
    <s v="Kiran"/>
    <x v="4"/>
    <n v="42742"/>
    <x v="133"/>
    <n v="8548.4"/>
    <x v="29"/>
    <x v="133"/>
    <x v="3"/>
    <n v="15457"/>
    <s v="Home Office"/>
    <s v="Cancelled"/>
    <n v="9"/>
    <n v="4"/>
    <s v="AVERAGE SALES"/>
    <n v="4"/>
  </r>
  <r>
    <n v="2135"/>
    <s v="2024-01-23"/>
    <s v="Priya"/>
    <x v="3"/>
    <x v="7"/>
    <x v="2"/>
    <x v="3"/>
    <s v="Sneha"/>
    <x v="1"/>
    <n v="6119"/>
    <x v="134"/>
    <n v="3059.5"/>
    <x v="120"/>
    <x v="134"/>
    <x v="2"/>
    <n v="6671"/>
    <s v="Corporate"/>
    <s v="Delivered"/>
    <n v="1"/>
    <n v="3"/>
    <s v="PROFIT"/>
    <n v="1"/>
  </r>
  <r>
    <n v="2136"/>
    <s v="2024-03-25"/>
    <s v="Sara"/>
    <x v="3"/>
    <x v="1"/>
    <x v="0"/>
    <x v="6"/>
    <s v="Rahul"/>
    <x v="0"/>
    <n v="30321"/>
    <x v="135"/>
    <n v="3032.1"/>
    <x v="34"/>
    <x v="135"/>
    <x v="1"/>
    <n v="6696"/>
    <s v="Home Office"/>
    <s v="Cancelled"/>
    <n v="8"/>
    <n v="2"/>
    <s v="PROFIT"/>
    <n v="3"/>
  </r>
  <r>
    <n v="2137"/>
    <s v="2024-03-06"/>
    <s v="Priya"/>
    <x v="3"/>
    <x v="3"/>
    <x v="0"/>
    <x v="9"/>
    <s v="Rahul"/>
    <x v="1"/>
    <n v="934"/>
    <x v="136"/>
    <n v="467"/>
    <x v="3"/>
    <x v="136"/>
    <x v="3"/>
    <n v="1359"/>
    <s v="Consumer"/>
    <s v="Cancelled"/>
    <n v="5"/>
    <n v="1"/>
    <s v="PROFIT"/>
    <n v="3"/>
  </r>
  <r>
    <n v="2138"/>
    <s v="2024-03-18"/>
    <s v="Vikram"/>
    <x v="2"/>
    <x v="0"/>
    <x v="1"/>
    <x v="1"/>
    <s v="Sneha"/>
    <x v="4"/>
    <n v="57073"/>
    <x v="137"/>
    <n v="11414.6"/>
    <x v="24"/>
    <x v="137"/>
    <x v="2"/>
    <n v="25201"/>
    <s v="Corporate"/>
    <s v="Pending"/>
    <n v="5"/>
    <n v="1"/>
    <s v="GOOD SALES"/>
    <n v="3"/>
  </r>
  <r>
    <n v="2139"/>
    <s v="2024-04-15"/>
    <s v="Priya"/>
    <x v="3"/>
    <x v="1"/>
    <x v="1"/>
    <x v="1"/>
    <s v="Sneha"/>
    <x v="2"/>
    <n v="42254"/>
    <x v="138"/>
    <n v="16901.599999999999"/>
    <x v="12"/>
    <x v="138"/>
    <x v="0"/>
    <n v="22455"/>
    <s v="Consumer"/>
    <s v="Delivered"/>
    <n v="3"/>
    <n v="2"/>
    <s v="GOOD SALES"/>
    <n v="4"/>
  </r>
  <r>
    <n v="2140"/>
    <s v="2024-02-27"/>
    <s v="Ramesh"/>
    <x v="1"/>
    <x v="1"/>
    <x v="1"/>
    <x v="1"/>
    <s v="Sneha"/>
    <x v="2"/>
    <n v="27492"/>
    <x v="139"/>
    <n v="10996.8"/>
    <x v="121"/>
    <x v="139"/>
    <x v="2"/>
    <n v="29154"/>
    <s v="Corporate"/>
    <s v="Delivered"/>
    <n v="10"/>
    <n v="5"/>
    <s v="GOOD SALES"/>
    <n v="2"/>
  </r>
  <r>
    <n v="2141"/>
    <s v="2024-01-19"/>
    <s v="Meena"/>
    <x v="1"/>
    <x v="3"/>
    <x v="0"/>
    <x v="6"/>
    <s v="Kiran"/>
    <x v="0"/>
    <n v="48856"/>
    <x v="140"/>
    <n v="4885.6000000000004"/>
    <x v="66"/>
    <x v="140"/>
    <x v="2"/>
    <n v="9139"/>
    <s v="Consumer"/>
    <s v="Pending"/>
    <n v="4"/>
    <n v="5"/>
    <s v="PROFIT"/>
    <n v="1"/>
  </r>
  <r>
    <n v="2142"/>
    <s v="2024-02-01"/>
    <s v="Arun"/>
    <x v="0"/>
    <x v="0"/>
    <x v="0"/>
    <x v="6"/>
    <s v="Rahul"/>
    <x v="3"/>
    <n v="21137"/>
    <x v="141"/>
    <n v="6341.1"/>
    <x v="96"/>
    <x v="141"/>
    <x v="0"/>
    <n v="15629"/>
    <s v="Home Office"/>
    <s v="Cancelled"/>
    <n v="4"/>
    <n v="5"/>
    <s v="AVERAGE SALES"/>
    <n v="2"/>
  </r>
  <r>
    <n v="2143"/>
    <s v="2024-04-28"/>
    <s v="Meena"/>
    <x v="0"/>
    <x v="4"/>
    <x v="1"/>
    <x v="1"/>
    <s v="Sneha"/>
    <x v="1"/>
    <n v="15969"/>
    <x v="142"/>
    <n v="7984.5"/>
    <x v="122"/>
    <x v="142"/>
    <x v="1"/>
    <n v="12203"/>
    <s v="Home Office"/>
    <s v="Cancelled"/>
    <n v="2"/>
    <n v="4"/>
    <s v="AVERAGE SALES"/>
    <n v="4"/>
  </r>
  <r>
    <n v="2144"/>
    <s v="2024-02-06"/>
    <s v="Anjali"/>
    <x v="1"/>
    <x v="3"/>
    <x v="0"/>
    <x v="0"/>
    <s v="Amit"/>
    <x v="0"/>
    <n v="52909"/>
    <x v="143"/>
    <n v="5290.9"/>
    <x v="123"/>
    <x v="143"/>
    <x v="0"/>
    <n v="8757"/>
    <s v="Corporate"/>
    <s v="Delivered"/>
    <n v="1"/>
    <n v="4"/>
    <s v="AVERAGE SALES"/>
    <n v="2"/>
  </r>
  <r>
    <n v="2145"/>
    <s v="2024-02-12"/>
    <s v="John"/>
    <x v="2"/>
    <x v="2"/>
    <x v="2"/>
    <x v="5"/>
    <s v="Sneha"/>
    <x v="2"/>
    <n v="16332"/>
    <x v="144"/>
    <n v="6532.8"/>
    <x v="6"/>
    <x v="144"/>
    <x v="2"/>
    <n v="17545"/>
    <s v="Home Office"/>
    <s v="Delivered"/>
    <n v="2"/>
    <n v="3"/>
    <s v="AVERAGE SALES"/>
    <n v="2"/>
  </r>
  <r>
    <n v="2146"/>
    <s v="2024-01-19"/>
    <s v="John"/>
    <x v="0"/>
    <x v="2"/>
    <x v="2"/>
    <x v="3"/>
    <s v="Sneha"/>
    <x v="0"/>
    <n v="57423"/>
    <x v="145"/>
    <n v="5742.3"/>
    <x v="124"/>
    <x v="145"/>
    <x v="0"/>
    <n v="6688"/>
    <s v="Corporate"/>
    <s v="Delivered"/>
    <n v="3"/>
    <n v="3"/>
    <s v="AVERAGE SALES"/>
    <n v="1"/>
  </r>
  <r>
    <n v="2147"/>
    <s v="2024-04-14"/>
    <s v="Ravi"/>
    <x v="2"/>
    <x v="3"/>
    <x v="1"/>
    <x v="1"/>
    <s v="Kiran"/>
    <x v="3"/>
    <n v="36795"/>
    <x v="146"/>
    <n v="11038.5"/>
    <x v="100"/>
    <x v="146"/>
    <x v="0"/>
    <n v="22992"/>
    <s v="Corporate"/>
    <s v="Cancelled"/>
    <n v="4"/>
    <n v="5"/>
    <s v="GOOD SALES"/>
    <n v="4"/>
  </r>
  <r>
    <n v="2148"/>
    <s v="2024-03-22"/>
    <s v="Divya"/>
    <x v="1"/>
    <x v="2"/>
    <x v="1"/>
    <x v="1"/>
    <s v="Sneha"/>
    <x v="1"/>
    <n v="9619"/>
    <x v="147"/>
    <n v="4809.5"/>
    <x v="19"/>
    <x v="147"/>
    <x v="1"/>
    <n v="12724"/>
    <s v="Home Office"/>
    <s v="Pending"/>
    <n v="6"/>
    <n v="5"/>
    <s v="PROFIT"/>
    <n v="3"/>
  </r>
  <r>
    <n v="2149"/>
    <s v="2024-04-16"/>
    <s v="Ravi"/>
    <x v="0"/>
    <x v="1"/>
    <x v="1"/>
    <x v="2"/>
    <s v="Rahul"/>
    <x v="1"/>
    <n v="44860"/>
    <x v="148"/>
    <n v="22430"/>
    <x v="125"/>
    <x v="148"/>
    <x v="0"/>
    <n v="27810"/>
    <s v="Corporate"/>
    <s v="Delivered"/>
    <n v="10"/>
    <n v="3"/>
    <s v="PEAK SALES"/>
    <n v="4"/>
  </r>
  <r>
    <n v="2150"/>
    <s v="2024-04-02"/>
    <s v="John"/>
    <x v="3"/>
    <x v="7"/>
    <x v="1"/>
    <x v="1"/>
    <s v="Sneha"/>
    <x v="0"/>
    <n v="35258"/>
    <x v="149"/>
    <n v="3525.8"/>
    <x v="71"/>
    <x v="149"/>
    <x v="2"/>
    <n v="3936"/>
    <s v="Consumer"/>
    <s v="Delivered"/>
    <n v="5"/>
    <n v="1"/>
    <s v="PROFIT"/>
    <n v="4"/>
  </r>
  <r>
    <n v="2151"/>
    <s v="2024-01-14"/>
    <s v="Vikram"/>
    <x v="3"/>
    <x v="0"/>
    <x v="0"/>
    <x v="0"/>
    <s v="Sneha"/>
    <x v="4"/>
    <n v="11917"/>
    <x v="150"/>
    <n v="2383.4"/>
    <x v="126"/>
    <x v="150"/>
    <x v="2"/>
    <n v="5275"/>
    <s v="Consumer"/>
    <s v="Cancelled"/>
    <n v="9"/>
    <n v="3"/>
    <s v="PROFIT"/>
    <n v="1"/>
  </r>
  <r>
    <n v="2152"/>
    <s v="2024-01-16"/>
    <s v="Ramesh"/>
    <x v="2"/>
    <x v="2"/>
    <x v="1"/>
    <x v="4"/>
    <s v="Rahul"/>
    <x v="1"/>
    <n v="11567"/>
    <x v="151"/>
    <n v="5783.5"/>
    <x v="115"/>
    <x v="151"/>
    <x v="2"/>
    <n v="13964"/>
    <s v="Home Office"/>
    <s v="Pending"/>
    <n v="4"/>
    <n v="1"/>
    <s v="AVERAGE SALES"/>
    <n v="1"/>
  </r>
  <r>
    <n v="2153"/>
    <s v="2024-02-28"/>
    <s v="Ramesh"/>
    <x v="2"/>
    <x v="7"/>
    <x v="1"/>
    <x v="8"/>
    <s v="Kiran"/>
    <x v="3"/>
    <n v="5866"/>
    <x v="152"/>
    <n v="1759.8"/>
    <x v="64"/>
    <x v="152"/>
    <x v="1"/>
    <n v="2704"/>
    <s v="Home Office"/>
    <s v="Delivered"/>
    <n v="1"/>
    <n v="3"/>
    <s v="PROFIT"/>
    <n v="2"/>
  </r>
  <r>
    <n v="2154"/>
    <s v="2024-03-15"/>
    <s v="Sara"/>
    <x v="2"/>
    <x v="7"/>
    <x v="0"/>
    <x v="6"/>
    <s v="Kiran"/>
    <x v="2"/>
    <n v="35357"/>
    <x v="153"/>
    <n v="14142.8"/>
    <x v="79"/>
    <x v="153"/>
    <x v="1"/>
    <n v="18366"/>
    <s v="Corporate"/>
    <s v="Cancelled"/>
    <n v="8"/>
    <n v="4"/>
    <s v="GOOD SALES"/>
    <n v="3"/>
  </r>
  <r>
    <n v="2155"/>
    <s v="2024-03-26"/>
    <s v="Priya"/>
    <x v="1"/>
    <x v="5"/>
    <x v="2"/>
    <x v="7"/>
    <s v="Sneha"/>
    <x v="0"/>
    <n v="18297"/>
    <x v="154"/>
    <n v="1829.7"/>
    <x v="127"/>
    <x v="154"/>
    <x v="3"/>
    <n v="5593"/>
    <s v="Consumer"/>
    <s v="Pending"/>
    <n v="6"/>
    <n v="1"/>
    <s v="PROFIT"/>
    <n v="3"/>
  </r>
  <r>
    <n v="2156"/>
    <s v="2024-02-19"/>
    <s v="Meena"/>
    <x v="1"/>
    <x v="1"/>
    <x v="2"/>
    <x v="7"/>
    <s v="Kiran"/>
    <x v="4"/>
    <n v="52857"/>
    <x v="155"/>
    <n v="10571.4"/>
    <x v="29"/>
    <x v="155"/>
    <x v="3"/>
    <n v="27218"/>
    <s v="Consumer"/>
    <s v="Delivered"/>
    <n v="3"/>
    <n v="3"/>
    <s v="GOOD SALES"/>
    <n v="2"/>
  </r>
  <r>
    <n v="2157"/>
    <s v="2024-03-09"/>
    <s v="Ramesh"/>
    <x v="3"/>
    <x v="6"/>
    <x v="1"/>
    <x v="1"/>
    <s v="Sneha"/>
    <x v="1"/>
    <n v="16982"/>
    <x v="156"/>
    <n v="8491"/>
    <x v="128"/>
    <x v="156"/>
    <x v="0"/>
    <n v="18441"/>
    <s v="Corporate"/>
    <s v="Pending"/>
    <n v="3"/>
    <n v="5"/>
    <s v="AVERAGE SALES"/>
    <n v="3"/>
  </r>
  <r>
    <n v="2158"/>
    <s v="2024-02-13"/>
    <s v="Meena"/>
    <x v="2"/>
    <x v="7"/>
    <x v="1"/>
    <x v="2"/>
    <s v="Amit"/>
    <x v="1"/>
    <n v="14304"/>
    <x v="157"/>
    <n v="7152"/>
    <x v="129"/>
    <x v="157"/>
    <x v="3"/>
    <n v="14332"/>
    <s v="Corporate"/>
    <s v="Pending"/>
    <n v="5"/>
    <n v="3"/>
    <s v="AVERAGE SALES"/>
    <n v="2"/>
  </r>
  <r>
    <n v="2159"/>
    <s v="2024-01-15"/>
    <s v="Divya"/>
    <x v="0"/>
    <x v="7"/>
    <x v="1"/>
    <x v="8"/>
    <s v="Kiran"/>
    <x v="4"/>
    <n v="10421"/>
    <x v="158"/>
    <n v="2084.1999999999998"/>
    <x v="126"/>
    <x v="158"/>
    <x v="0"/>
    <n v="4305"/>
    <s v="Home Office"/>
    <s v="Delivered"/>
    <n v="4"/>
    <n v="3"/>
    <s v="PROFIT"/>
    <n v="1"/>
  </r>
  <r>
    <n v="2160"/>
    <s v="2024-03-17"/>
    <s v="Ravi"/>
    <x v="1"/>
    <x v="0"/>
    <x v="1"/>
    <x v="1"/>
    <s v="Rahul"/>
    <x v="0"/>
    <n v="15985"/>
    <x v="159"/>
    <n v="1598.5"/>
    <x v="116"/>
    <x v="159"/>
    <x v="2"/>
    <n v="3663"/>
    <s v="Home Office"/>
    <s v="Pending"/>
    <n v="4"/>
    <n v="2"/>
    <s v="PROFIT"/>
    <n v="3"/>
  </r>
  <r>
    <n v="2161"/>
    <s v="2024-02-13"/>
    <s v="Vikram"/>
    <x v="3"/>
    <x v="6"/>
    <x v="0"/>
    <x v="9"/>
    <s v="Rahul"/>
    <x v="0"/>
    <n v="56567"/>
    <x v="160"/>
    <n v="5656.7"/>
    <x v="130"/>
    <x v="160"/>
    <x v="3"/>
    <n v="8335"/>
    <s v="Corporate"/>
    <s v="Cancelled"/>
    <n v="2"/>
    <n v="4"/>
    <s v="AVERAGE SALES"/>
    <n v="2"/>
  </r>
  <r>
    <n v="2162"/>
    <s v="2024-04-26"/>
    <s v="Priya"/>
    <x v="0"/>
    <x v="7"/>
    <x v="2"/>
    <x v="3"/>
    <s v="Sneha"/>
    <x v="2"/>
    <n v="10449"/>
    <x v="161"/>
    <n v="4179.6000000000004"/>
    <x v="131"/>
    <x v="161"/>
    <x v="3"/>
    <n v="5067"/>
    <s v="Consumer"/>
    <s v="Delivered"/>
    <n v="4"/>
    <n v="2"/>
    <s v="PROFIT"/>
    <n v="4"/>
  </r>
  <r>
    <n v="2163"/>
    <s v="2024-02-20"/>
    <s v="Priya"/>
    <x v="1"/>
    <x v="3"/>
    <x v="1"/>
    <x v="1"/>
    <s v="Rahul"/>
    <x v="3"/>
    <n v="44317"/>
    <x v="162"/>
    <n v="13295.1"/>
    <x v="132"/>
    <x v="162"/>
    <x v="3"/>
    <n v="25142"/>
    <s v="Home Office"/>
    <s v="Pending"/>
    <n v="6"/>
    <n v="2"/>
    <s v="GOOD SALES"/>
    <n v="2"/>
  </r>
  <r>
    <n v="2164"/>
    <s v="2024-02-08"/>
    <s v="John"/>
    <x v="1"/>
    <x v="4"/>
    <x v="0"/>
    <x v="0"/>
    <s v="Kiran"/>
    <x v="0"/>
    <n v="36254"/>
    <x v="163"/>
    <n v="3625.4"/>
    <x v="38"/>
    <x v="163"/>
    <x v="0"/>
    <n v="6561"/>
    <s v="Consumer"/>
    <s v="Pending"/>
    <n v="8"/>
    <n v="4"/>
    <s v="PROFIT"/>
    <n v="2"/>
  </r>
  <r>
    <n v="2165"/>
    <s v="2024-02-17"/>
    <s v="Arun"/>
    <x v="1"/>
    <x v="3"/>
    <x v="0"/>
    <x v="9"/>
    <s v="Rahul"/>
    <x v="1"/>
    <n v="39487"/>
    <x v="164"/>
    <n v="19743.5"/>
    <x v="133"/>
    <x v="164"/>
    <x v="2"/>
    <n v="28528"/>
    <s v="Consumer"/>
    <s v="Cancelled"/>
    <n v="1"/>
    <n v="3"/>
    <s v="GOOD SALES"/>
    <n v="2"/>
  </r>
  <r>
    <n v="2166"/>
    <s v="2024-04-04"/>
    <s v="Ramesh"/>
    <x v="0"/>
    <x v="5"/>
    <x v="2"/>
    <x v="3"/>
    <s v="Sneha"/>
    <x v="4"/>
    <n v="29738"/>
    <x v="165"/>
    <n v="5947.6"/>
    <x v="134"/>
    <x v="165"/>
    <x v="2"/>
    <n v="10129"/>
    <s v="Corporate"/>
    <s v="Delivered"/>
    <n v="5"/>
    <n v="4"/>
    <s v="AVERAGE SALES"/>
    <n v="4"/>
  </r>
  <r>
    <n v="2167"/>
    <s v="2024-01-03"/>
    <s v="Anjali"/>
    <x v="0"/>
    <x v="7"/>
    <x v="2"/>
    <x v="3"/>
    <s v="Sneha"/>
    <x v="3"/>
    <n v="48019"/>
    <x v="166"/>
    <n v="14405.7"/>
    <x v="135"/>
    <x v="166"/>
    <x v="1"/>
    <n v="33068"/>
    <s v="Corporate"/>
    <s v="Delivered"/>
    <n v="3"/>
    <n v="2"/>
    <s v="GOOD SALES"/>
    <n v="1"/>
  </r>
  <r>
    <n v="2168"/>
    <s v="2024-03-17"/>
    <s v="Ravi"/>
    <x v="3"/>
    <x v="4"/>
    <x v="2"/>
    <x v="7"/>
    <s v="Sneha"/>
    <x v="4"/>
    <n v="26913"/>
    <x v="167"/>
    <n v="5382.6"/>
    <x v="103"/>
    <x v="167"/>
    <x v="3"/>
    <n v="14943"/>
    <s v="Consumer"/>
    <s v="Delivered"/>
    <n v="8"/>
    <n v="2"/>
    <s v="AVERAGE SALES"/>
    <n v="3"/>
  </r>
  <r>
    <n v="2169"/>
    <s v="2024-02-17"/>
    <s v="Sara"/>
    <x v="3"/>
    <x v="3"/>
    <x v="0"/>
    <x v="6"/>
    <s v="Sneha"/>
    <x v="1"/>
    <n v="45291"/>
    <x v="168"/>
    <n v="22645.5"/>
    <x v="136"/>
    <x v="168"/>
    <x v="1"/>
    <n v="51473"/>
    <s v="Consumer"/>
    <s v="Cancelled"/>
    <n v="1"/>
    <n v="2"/>
    <s v="PEAK SALES"/>
    <n v="2"/>
  </r>
  <r>
    <n v="2170"/>
    <s v="2024-02-17"/>
    <s v="Sara"/>
    <x v="3"/>
    <x v="6"/>
    <x v="1"/>
    <x v="8"/>
    <s v="Sneha"/>
    <x v="1"/>
    <n v="40193"/>
    <x v="169"/>
    <n v="20096.5"/>
    <x v="137"/>
    <x v="169"/>
    <x v="0"/>
    <n v="28084"/>
    <s v="Home Office"/>
    <s v="Delivered"/>
    <n v="5"/>
    <n v="3"/>
    <s v="PEAK SALES"/>
    <n v="2"/>
  </r>
  <r>
    <n v="2171"/>
    <s v="2024-01-21"/>
    <s v="Sara"/>
    <x v="1"/>
    <x v="5"/>
    <x v="0"/>
    <x v="9"/>
    <s v="Rahul"/>
    <x v="1"/>
    <n v="9514"/>
    <x v="170"/>
    <n v="4757"/>
    <x v="138"/>
    <x v="170"/>
    <x v="1"/>
    <n v="5003"/>
    <s v="Consumer"/>
    <s v="Cancelled"/>
    <n v="2"/>
    <n v="2"/>
    <s v="PROFIT"/>
    <n v="1"/>
  </r>
  <r>
    <n v="2172"/>
    <s v="2024-03-13"/>
    <s v="Ravi"/>
    <x v="0"/>
    <x v="4"/>
    <x v="2"/>
    <x v="7"/>
    <s v="Amit"/>
    <x v="3"/>
    <n v="57430"/>
    <x v="171"/>
    <n v="17229"/>
    <x v="139"/>
    <x v="171"/>
    <x v="0"/>
    <n v="33704"/>
    <s v="Corporate"/>
    <s v="Delivered"/>
    <n v="4"/>
    <n v="5"/>
    <s v="GOOD SALES"/>
    <n v="3"/>
  </r>
  <r>
    <n v="2173"/>
    <s v="2024-02-21"/>
    <s v="Meena"/>
    <x v="3"/>
    <x v="6"/>
    <x v="0"/>
    <x v="6"/>
    <s v="Sneha"/>
    <x v="1"/>
    <n v="48808"/>
    <x v="172"/>
    <n v="24404"/>
    <x v="140"/>
    <x v="172"/>
    <x v="2"/>
    <n v="60625"/>
    <s v="Consumer"/>
    <s v="Pending"/>
    <n v="3"/>
    <n v="1"/>
    <s v="PEAK SALES"/>
    <n v="2"/>
  </r>
  <r>
    <n v="2174"/>
    <s v="2024-01-21"/>
    <s v="Divya"/>
    <x v="3"/>
    <x v="5"/>
    <x v="0"/>
    <x v="9"/>
    <s v="Amit"/>
    <x v="4"/>
    <n v="18263"/>
    <x v="173"/>
    <n v="3652.6"/>
    <x v="141"/>
    <x v="173"/>
    <x v="2"/>
    <n v="7348"/>
    <s v="Consumer"/>
    <s v="Pending"/>
    <n v="8"/>
    <n v="1"/>
    <s v="PROFIT"/>
    <n v="1"/>
  </r>
  <r>
    <n v="2175"/>
    <s v="2024-01-22"/>
    <s v="Arun"/>
    <x v="2"/>
    <x v="0"/>
    <x v="2"/>
    <x v="7"/>
    <s v="Rahul"/>
    <x v="4"/>
    <n v="24898"/>
    <x v="174"/>
    <n v="4979.6000000000004"/>
    <x v="142"/>
    <x v="174"/>
    <x v="2"/>
    <n v="9354"/>
    <s v="Corporate"/>
    <s v="Cancelled"/>
    <n v="3"/>
    <n v="3"/>
    <s v="PROFIT"/>
    <n v="1"/>
  </r>
  <r>
    <n v="2176"/>
    <s v="2024-02-01"/>
    <s v="Sara"/>
    <x v="0"/>
    <x v="1"/>
    <x v="1"/>
    <x v="2"/>
    <s v="Sneha"/>
    <x v="4"/>
    <n v="23319"/>
    <x v="175"/>
    <n v="4663.8"/>
    <x v="143"/>
    <x v="175"/>
    <x v="2"/>
    <n v="12021"/>
    <s v="Consumer"/>
    <s v="Pending"/>
    <n v="9"/>
    <n v="2"/>
    <s v="PROFIT"/>
    <n v="2"/>
  </r>
  <r>
    <n v="2177"/>
    <s v="2024-03-26"/>
    <s v="Sara"/>
    <x v="1"/>
    <x v="1"/>
    <x v="2"/>
    <x v="7"/>
    <s v="Amit"/>
    <x v="2"/>
    <n v="39149"/>
    <x v="176"/>
    <n v="15659.6"/>
    <x v="138"/>
    <x v="176"/>
    <x v="3"/>
    <n v="21055"/>
    <s v="Corporate"/>
    <s v="Pending"/>
    <n v="4"/>
    <n v="2"/>
    <s v="GOOD SALES"/>
    <n v="3"/>
  </r>
  <r>
    <n v="2178"/>
    <s v="2024-03-30"/>
    <s v="John"/>
    <x v="2"/>
    <x v="7"/>
    <x v="2"/>
    <x v="5"/>
    <s v="Sneha"/>
    <x v="4"/>
    <n v="31182"/>
    <x v="177"/>
    <n v="6236.4"/>
    <x v="132"/>
    <x v="177"/>
    <x v="0"/>
    <n v="7411"/>
    <s v="Home Office"/>
    <s v="Pending"/>
    <n v="6"/>
    <n v="1"/>
    <s v="AVERAGE SALES"/>
    <n v="3"/>
  </r>
  <r>
    <n v="2179"/>
    <s v="2024-01-28"/>
    <s v="John"/>
    <x v="3"/>
    <x v="1"/>
    <x v="1"/>
    <x v="2"/>
    <s v="Rahul"/>
    <x v="4"/>
    <n v="32527"/>
    <x v="178"/>
    <n v="6505.4"/>
    <x v="144"/>
    <x v="178"/>
    <x v="3"/>
    <n v="19407"/>
    <s v="Corporate"/>
    <s v="Delivered"/>
    <n v="8"/>
    <n v="1"/>
    <s v="AVERAGE SALES"/>
    <n v="1"/>
  </r>
  <r>
    <n v="2180"/>
    <s v="2024-03-11"/>
    <s v="Ramesh"/>
    <x v="0"/>
    <x v="2"/>
    <x v="2"/>
    <x v="5"/>
    <s v="Amit"/>
    <x v="3"/>
    <n v="13582"/>
    <x v="179"/>
    <n v="4074.6"/>
    <x v="145"/>
    <x v="179"/>
    <x v="2"/>
    <n v="6794"/>
    <s v="Consumer"/>
    <s v="Pending"/>
    <n v="7"/>
    <n v="2"/>
    <s v="PROFIT"/>
    <n v="3"/>
  </r>
  <r>
    <n v="2181"/>
    <s v="2024-02-01"/>
    <s v="Vikram"/>
    <x v="2"/>
    <x v="6"/>
    <x v="1"/>
    <x v="2"/>
    <s v="Kiran"/>
    <x v="1"/>
    <n v="48007"/>
    <x v="180"/>
    <n v="24003.5"/>
    <x v="28"/>
    <x v="180"/>
    <x v="2"/>
    <n v="47761"/>
    <s v="Consumer"/>
    <s v="Delivered"/>
    <n v="9"/>
    <n v="3"/>
    <s v="PEAK SALES"/>
    <n v="2"/>
  </r>
  <r>
    <n v="2182"/>
    <s v="2024-02-19"/>
    <s v="Meena"/>
    <x v="2"/>
    <x v="5"/>
    <x v="0"/>
    <x v="6"/>
    <s v="Kiran"/>
    <x v="4"/>
    <n v="20649"/>
    <x v="181"/>
    <n v="4129.8"/>
    <x v="146"/>
    <x v="181"/>
    <x v="3"/>
    <n v="7069"/>
    <s v="Corporate"/>
    <s v="Delivered"/>
    <n v="5"/>
    <n v="5"/>
    <s v="PROFIT"/>
    <n v="2"/>
  </r>
  <r>
    <n v="2183"/>
    <s v="2024-01-01"/>
    <s v="Priya"/>
    <x v="1"/>
    <x v="6"/>
    <x v="1"/>
    <x v="2"/>
    <s v="Rahul"/>
    <x v="3"/>
    <n v="54024"/>
    <x v="182"/>
    <n v="16207.2"/>
    <x v="147"/>
    <x v="182"/>
    <x v="0"/>
    <n v="31693"/>
    <s v="Corporate"/>
    <s v="Pending"/>
    <n v="5"/>
    <n v="1"/>
    <s v="GOOD SALES"/>
    <n v="1"/>
  </r>
  <r>
    <n v="2184"/>
    <s v="2024-03-01"/>
    <s v="Meena"/>
    <x v="0"/>
    <x v="6"/>
    <x v="0"/>
    <x v="9"/>
    <s v="Sneha"/>
    <x v="0"/>
    <n v="55046"/>
    <x v="183"/>
    <n v="5504.6"/>
    <x v="148"/>
    <x v="183"/>
    <x v="2"/>
    <n v="6570"/>
    <s v="Consumer"/>
    <s v="Delivered"/>
    <n v="8"/>
    <n v="4"/>
    <s v="AVERAGE SALES"/>
    <n v="3"/>
  </r>
  <r>
    <n v="2185"/>
    <s v="2024-02-21"/>
    <s v="Arun"/>
    <x v="2"/>
    <x v="5"/>
    <x v="2"/>
    <x v="5"/>
    <s v="Rahul"/>
    <x v="2"/>
    <n v="19191"/>
    <x v="184"/>
    <n v="7676.4"/>
    <x v="149"/>
    <x v="184"/>
    <x v="1"/>
    <n v="17172"/>
    <s v="Consumer"/>
    <s v="Cancelled"/>
    <n v="8"/>
    <n v="4"/>
    <s v="AVERAGE SALES"/>
    <n v="2"/>
  </r>
  <r>
    <n v="2186"/>
    <s v="2024-03-13"/>
    <s v="Ravi"/>
    <x v="2"/>
    <x v="7"/>
    <x v="2"/>
    <x v="5"/>
    <s v="Amit"/>
    <x v="2"/>
    <n v="29768"/>
    <x v="185"/>
    <n v="11907.2"/>
    <x v="150"/>
    <x v="185"/>
    <x v="1"/>
    <n v="32753"/>
    <s v="Home Office"/>
    <s v="Delivered"/>
    <n v="8"/>
    <n v="4"/>
    <s v="GOOD SALES"/>
    <n v="3"/>
  </r>
  <r>
    <n v="2187"/>
    <s v="2024-01-12"/>
    <s v="Anjali"/>
    <x v="3"/>
    <x v="0"/>
    <x v="1"/>
    <x v="1"/>
    <s v="Kiran"/>
    <x v="0"/>
    <n v="50582"/>
    <x v="186"/>
    <n v="5058.2"/>
    <x v="44"/>
    <x v="186"/>
    <x v="1"/>
    <n v="14801"/>
    <s v="Consumer"/>
    <s v="Cancelled"/>
    <n v="6"/>
    <n v="4"/>
    <s v="AVERAGE SALES"/>
    <n v="1"/>
  </r>
  <r>
    <n v="2188"/>
    <s v="2024-02-02"/>
    <s v="Priya"/>
    <x v="2"/>
    <x v="7"/>
    <x v="2"/>
    <x v="7"/>
    <s v="Rahul"/>
    <x v="4"/>
    <n v="42324"/>
    <x v="187"/>
    <n v="8464.7999999999993"/>
    <x v="16"/>
    <x v="187"/>
    <x v="2"/>
    <n v="15316"/>
    <s v="Home Office"/>
    <s v="Cancelled"/>
    <n v="9"/>
    <n v="2"/>
    <s v="AVERAGE SALES"/>
    <n v="2"/>
  </r>
  <r>
    <n v="2189"/>
    <s v="2024-02-10"/>
    <s v="John"/>
    <x v="2"/>
    <x v="1"/>
    <x v="2"/>
    <x v="5"/>
    <s v="Kiran"/>
    <x v="4"/>
    <n v="32924"/>
    <x v="188"/>
    <n v="6584.8"/>
    <x v="151"/>
    <x v="188"/>
    <x v="0"/>
    <n v="7476"/>
    <s v="Corporate"/>
    <s v="Cancelled"/>
    <n v="4"/>
    <n v="4"/>
    <s v="AVERAGE SALES"/>
    <n v="2"/>
  </r>
  <r>
    <n v="2190"/>
    <s v="2024-03-01"/>
    <s v="Ravi"/>
    <x v="0"/>
    <x v="6"/>
    <x v="0"/>
    <x v="9"/>
    <s v="Kiran"/>
    <x v="0"/>
    <n v="57748"/>
    <x v="189"/>
    <n v="5774.8"/>
    <x v="146"/>
    <x v="189"/>
    <x v="0"/>
    <n v="13490"/>
    <s v="Home Office"/>
    <s v="Pending"/>
    <n v="8"/>
    <n v="5"/>
    <s v="AVERAGE SALES"/>
    <n v="3"/>
  </r>
  <r>
    <n v="2191"/>
    <s v="2024-04-20"/>
    <s v="Vikram"/>
    <x v="2"/>
    <x v="7"/>
    <x v="1"/>
    <x v="8"/>
    <s v="Rahul"/>
    <x v="0"/>
    <n v="47489"/>
    <x v="190"/>
    <n v="4748.8999999999996"/>
    <x v="152"/>
    <x v="190"/>
    <x v="0"/>
    <n v="4458"/>
    <s v="Consumer"/>
    <s v="Pending"/>
    <n v="5"/>
    <n v="3"/>
    <s v="PROFIT"/>
    <n v="4"/>
  </r>
  <r>
    <n v="2192"/>
    <s v="2024-04-23"/>
    <s v="Meena"/>
    <x v="3"/>
    <x v="3"/>
    <x v="0"/>
    <x v="6"/>
    <s v="Sneha"/>
    <x v="3"/>
    <n v="29405"/>
    <x v="191"/>
    <n v="8821.5"/>
    <x v="10"/>
    <x v="191"/>
    <x v="3"/>
    <n v="23042"/>
    <s v="Corporate"/>
    <s v="Pending"/>
    <n v="5"/>
    <n v="4"/>
    <s v="AVERAGE SALES"/>
    <n v="4"/>
  </r>
  <r>
    <n v="2193"/>
    <s v="2024-04-02"/>
    <s v="Meena"/>
    <x v="1"/>
    <x v="3"/>
    <x v="1"/>
    <x v="4"/>
    <s v="Sneha"/>
    <x v="3"/>
    <n v="2609"/>
    <x v="192"/>
    <n v="782.7"/>
    <x v="153"/>
    <x v="192"/>
    <x v="2"/>
    <n v="2180"/>
    <s v="Consumer"/>
    <s v="Delivered"/>
    <n v="5"/>
    <n v="3"/>
    <s v="PROFIT"/>
    <n v="4"/>
  </r>
  <r>
    <n v="2194"/>
    <s v="2024-02-15"/>
    <s v="John"/>
    <x v="3"/>
    <x v="0"/>
    <x v="0"/>
    <x v="0"/>
    <s v="Kiran"/>
    <x v="0"/>
    <n v="26686"/>
    <x v="193"/>
    <n v="2668.6"/>
    <x v="154"/>
    <x v="193"/>
    <x v="1"/>
    <n v="7451"/>
    <s v="Home Office"/>
    <s v="Delivered"/>
    <n v="2"/>
    <n v="2"/>
    <s v="PROFIT"/>
    <n v="2"/>
  </r>
  <r>
    <n v="2195"/>
    <s v="2024-02-11"/>
    <s v="Divya"/>
    <x v="3"/>
    <x v="4"/>
    <x v="0"/>
    <x v="0"/>
    <s v="Kiran"/>
    <x v="0"/>
    <n v="35468"/>
    <x v="194"/>
    <n v="3546.8"/>
    <x v="155"/>
    <x v="194"/>
    <x v="1"/>
    <n v="6658"/>
    <s v="Home Office"/>
    <s v="Delivered"/>
    <n v="6"/>
    <n v="4"/>
    <s v="PROFIT"/>
    <n v="2"/>
  </r>
  <r>
    <n v="2196"/>
    <s v="2024-04-10"/>
    <s v="Vikram"/>
    <x v="0"/>
    <x v="3"/>
    <x v="2"/>
    <x v="5"/>
    <s v="Kiran"/>
    <x v="0"/>
    <n v="10013"/>
    <x v="195"/>
    <n v="1001.3"/>
    <x v="148"/>
    <x v="195"/>
    <x v="2"/>
    <n v="2600"/>
    <s v="Consumer"/>
    <s v="Pending"/>
    <n v="1"/>
    <n v="5"/>
    <s v="PROFIT"/>
    <n v="4"/>
  </r>
  <r>
    <n v="2197"/>
    <s v="2024-02-23"/>
    <s v="Anjali"/>
    <x v="0"/>
    <x v="2"/>
    <x v="0"/>
    <x v="6"/>
    <s v="Amit"/>
    <x v="2"/>
    <n v="47188"/>
    <x v="196"/>
    <n v="18875.2"/>
    <x v="156"/>
    <x v="196"/>
    <x v="0"/>
    <n v="21191"/>
    <s v="Consumer"/>
    <s v="Cancelled"/>
    <n v="1"/>
    <n v="4"/>
    <s v="GOOD SALES"/>
    <n v="2"/>
  </r>
  <r>
    <n v="2198"/>
    <s v="2024-02-11"/>
    <s v="Sara"/>
    <x v="0"/>
    <x v="3"/>
    <x v="2"/>
    <x v="3"/>
    <s v="Amit"/>
    <x v="1"/>
    <n v="26235"/>
    <x v="197"/>
    <n v="13117.5"/>
    <x v="35"/>
    <x v="197"/>
    <x v="0"/>
    <n v="18212"/>
    <s v="Consumer"/>
    <s v="Delivered"/>
    <n v="4"/>
    <n v="4"/>
    <s v="GOOD SALES"/>
    <n v="2"/>
  </r>
  <r>
    <n v="2199"/>
    <s v="2024-01-10"/>
    <s v="Anjali"/>
    <x v="1"/>
    <x v="6"/>
    <x v="2"/>
    <x v="7"/>
    <s v="Sneha"/>
    <x v="0"/>
    <n v="32503"/>
    <x v="198"/>
    <n v="3250.3"/>
    <x v="157"/>
    <x v="198"/>
    <x v="3"/>
    <n v="7072"/>
    <s v="Home Office"/>
    <s v="Delivered"/>
    <n v="8"/>
    <n v="1"/>
    <s v="PROFIT"/>
    <n v="1"/>
  </r>
  <r>
    <n v="2200"/>
    <s v="2024-02-26"/>
    <s v="John"/>
    <x v="3"/>
    <x v="5"/>
    <x v="2"/>
    <x v="5"/>
    <s v="Kiran"/>
    <x v="4"/>
    <n v="44580"/>
    <x v="199"/>
    <n v="8916"/>
    <x v="32"/>
    <x v="199"/>
    <x v="1"/>
    <n v="24477"/>
    <s v="Consumer"/>
    <s v="Cancelled"/>
    <n v="9"/>
    <n v="3"/>
    <s v="AVERAGE SALES"/>
    <n v="2"/>
  </r>
  <r>
    <n v="2201"/>
    <s v="2024-03-26"/>
    <s v="Ramesh"/>
    <x v="3"/>
    <x v="1"/>
    <x v="1"/>
    <x v="8"/>
    <s v="Kiran"/>
    <x v="2"/>
    <n v="8990"/>
    <x v="200"/>
    <n v="3596"/>
    <x v="20"/>
    <x v="200"/>
    <x v="1"/>
    <n v="6916"/>
    <s v="Consumer"/>
    <s v="Cancelled"/>
    <n v="1"/>
    <n v="5"/>
    <s v="PROFIT"/>
    <n v="3"/>
  </r>
  <r>
    <n v="2202"/>
    <s v="2024-04-12"/>
    <s v="Arun"/>
    <x v="3"/>
    <x v="5"/>
    <x v="0"/>
    <x v="6"/>
    <s v="Amit"/>
    <x v="4"/>
    <n v="35268"/>
    <x v="201"/>
    <n v="7053.6"/>
    <x v="158"/>
    <x v="201"/>
    <x v="3"/>
    <n v="9074"/>
    <s v="Corporate"/>
    <s v="Pending"/>
    <n v="4"/>
    <n v="2"/>
    <s v="AVERAGE SALES"/>
    <n v="4"/>
  </r>
  <r>
    <n v="2203"/>
    <s v="2024-02-04"/>
    <s v="Ravi"/>
    <x v="3"/>
    <x v="0"/>
    <x v="0"/>
    <x v="6"/>
    <s v="Sneha"/>
    <x v="0"/>
    <n v="5850"/>
    <x v="202"/>
    <n v="585"/>
    <x v="159"/>
    <x v="202"/>
    <x v="1"/>
    <n v="900"/>
    <s v="Corporate"/>
    <s v="Cancelled"/>
    <n v="9"/>
    <n v="1"/>
    <s v="PROFIT"/>
    <n v="2"/>
  </r>
  <r>
    <n v="2204"/>
    <s v="2024-02-24"/>
    <s v="Ravi"/>
    <x v="3"/>
    <x v="5"/>
    <x v="0"/>
    <x v="9"/>
    <s v="Kiran"/>
    <x v="0"/>
    <n v="40695"/>
    <x v="203"/>
    <n v="4069.5"/>
    <x v="160"/>
    <x v="203"/>
    <x v="1"/>
    <n v="10336"/>
    <s v="Home Office"/>
    <s v="Pending"/>
    <n v="6"/>
    <n v="1"/>
    <s v="PROFIT"/>
    <n v="2"/>
  </r>
  <r>
    <n v="2205"/>
    <s v="2024-02-07"/>
    <s v="Arun"/>
    <x v="1"/>
    <x v="6"/>
    <x v="2"/>
    <x v="3"/>
    <s v="Rahul"/>
    <x v="3"/>
    <n v="51403"/>
    <x v="204"/>
    <n v="15420.9"/>
    <x v="161"/>
    <x v="204"/>
    <x v="3"/>
    <n v="21133"/>
    <s v="Corporate"/>
    <s v="Cancelled"/>
    <n v="9"/>
    <n v="3"/>
    <s v="GOOD SALES"/>
    <n v="2"/>
  </r>
  <r>
    <n v="2206"/>
    <s v="2024-01-03"/>
    <s v="Ravi"/>
    <x v="3"/>
    <x v="6"/>
    <x v="1"/>
    <x v="4"/>
    <s v="Amit"/>
    <x v="0"/>
    <n v="16545"/>
    <x v="205"/>
    <n v="1654.5"/>
    <x v="162"/>
    <x v="205"/>
    <x v="3"/>
    <n v="2038"/>
    <s v="Corporate"/>
    <s v="Cancelled"/>
    <n v="6"/>
    <n v="3"/>
    <s v="PROFIT"/>
    <n v="1"/>
  </r>
  <r>
    <n v="2207"/>
    <s v="2024-01-19"/>
    <s v="John"/>
    <x v="1"/>
    <x v="2"/>
    <x v="1"/>
    <x v="2"/>
    <s v="Sneha"/>
    <x v="0"/>
    <n v="54557"/>
    <x v="206"/>
    <n v="5455.7"/>
    <x v="163"/>
    <x v="206"/>
    <x v="2"/>
    <n v="11448"/>
    <s v="Corporate"/>
    <s v="Pending"/>
    <n v="3"/>
    <n v="4"/>
    <s v="AVERAGE SALES"/>
    <n v="1"/>
  </r>
  <r>
    <n v="2208"/>
    <s v="2024-03-11"/>
    <s v="Meena"/>
    <x v="0"/>
    <x v="1"/>
    <x v="0"/>
    <x v="9"/>
    <s v="Amit"/>
    <x v="2"/>
    <n v="23282"/>
    <x v="207"/>
    <n v="9312.7999999999993"/>
    <x v="164"/>
    <x v="207"/>
    <x v="3"/>
    <n v="19035"/>
    <s v="Consumer"/>
    <s v="Delivered"/>
    <n v="9"/>
    <n v="2"/>
    <s v="AVERAGE SALES"/>
    <n v="3"/>
  </r>
  <r>
    <n v="2209"/>
    <s v="2024-01-21"/>
    <s v="Arun"/>
    <x v="3"/>
    <x v="0"/>
    <x v="1"/>
    <x v="1"/>
    <s v="Sneha"/>
    <x v="3"/>
    <n v="777"/>
    <x v="208"/>
    <n v="233.1"/>
    <x v="67"/>
    <x v="208"/>
    <x v="2"/>
    <n v="425"/>
    <s v="Home Office"/>
    <s v="Delivered"/>
    <n v="10"/>
    <n v="5"/>
    <s v="PROFIT"/>
    <n v="1"/>
  </r>
  <r>
    <n v="2210"/>
    <s v="2024-03-12"/>
    <s v="Ramesh"/>
    <x v="3"/>
    <x v="6"/>
    <x v="1"/>
    <x v="8"/>
    <s v="Amit"/>
    <x v="1"/>
    <n v="1439"/>
    <x v="209"/>
    <n v="719.5"/>
    <x v="165"/>
    <x v="209"/>
    <x v="2"/>
    <n v="902"/>
    <s v="Home Office"/>
    <s v="Pending"/>
    <n v="5"/>
    <n v="3"/>
    <s v="PROFIT"/>
    <n v="3"/>
  </r>
  <r>
    <n v="2211"/>
    <s v="2024-01-04"/>
    <s v="Vikram"/>
    <x v="0"/>
    <x v="7"/>
    <x v="2"/>
    <x v="7"/>
    <s v="Kiran"/>
    <x v="2"/>
    <n v="14363"/>
    <x v="210"/>
    <n v="5745.2"/>
    <x v="18"/>
    <x v="210"/>
    <x v="0"/>
    <n v="16151"/>
    <s v="Consumer"/>
    <s v="Cancelled"/>
    <n v="1"/>
    <n v="2"/>
    <s v="AVERAGE SALES"/>
    <n v="1"/>
  </r>
  <r>
    <n v="2212"/>
    <s v="2024-02-23"/>
    <s v="Meena"/>
    <x v="3"/>
    <x v="3"/>
    <x v="0"/>
    <x v="0"/>
    <s v="Amit"/>
    <x v="1"/>
    <n v="41002"/>
    <x v="211"/>
    <n v="20501"/>
    <x v="166"/>
    <x v="211"/>
    <x v="0"/>
    <n v="32831"/>
    <s v="Corporate"/>
    <s v="Cancelled"/>
    <n v="4"/>
    <n v="5"/>
    <s v="GOOD SALES"/>
    <n v="2"/>
  </r>
  <r>
    <n v="2213"/>
    <s v="2024-03-04"/>
    <s v="Vikram"/>
    <x v="2"/>
    <x v="3"/>
    <x v="1"/>
    <x v="2"/>
    <s v="Rahul"/>
    <x v="0"/>
    <n v="39622"/>
    <x v="212"/>
    <n v="3962.2"/>
    <x v="167"/>
    <x v="212"/>
    <x v="0"/>
    <n v="9526"/>
    <s v="Corporate"/>
    <s v="Cancelled"/>
    <n v="7"/>
    <n v="2"/>
    <s v="PROFIT"/>
    <n v="3"/>
  </r>
  <r>
    <n v="2214"/>
    <s v="2024-02-24"/>
    <s v="John"/>
    <x v="3"/>
    <x v="7"/>
    <x v="1"/>
    <x v="4"/>
    <s v="Rahul"/>
    <x v="2"/>
    <n v="9291"/>
    <x v="213"/>
    <n v="3716.4"/>
    <x v="168"/>
    <x v="213"/>
    <x v="3"/>
    <n v="8440"/>
    <s v="Corporate"/>
    <s v="Cancelled"/>
    <n v="1"/>
    <n v="4"/>
    <s v="PROFIT"/>
    <n v="2"/>
  </r>
  <r>
    <n v="2215"/>
    <s v="2024-03-02"/>
    <s v="Anjali"/>
    <x v="3"/>
    <x v="3"/>
    <x v="2"/>
    <x v="3"/>
    <s v="Kiran"/>
    <x v="4"/>
    <n v="25669"/>
    <x v="214"/>
    <n v="5133.8"/>
    <x v="169"/>
    <x v="214"/>
    <x v="0"/>
    <n v="9640"/>
    <s v="Corporate"/>
    <s v="Delivered"/>
    <n v="1"/>
    <n v="1"/>
    <s v="PROFIT"/>
    <n v="3"/>
  </r>
  <r>
    <n v="2216"/>
    <s v="2024-03-20"/>
    <s v="Vikram"/>
    <x v="3"/>
    <x v="4"/>
    <x v="0"/>
    <x v="6"/>
    <s v="Kiran"/>
    <x v="3"/>
    <n v="28281"/>
    <x v="215"/>
    <n v="8484.2999999999993"/>
    <x v="170"/>
    <x v="215"/>
    <x v="3"/>
    <n v="16142"/>
    <s v="Corporate"/>
    <s v="Pending"/>
    <n v="3"/>
    <n v="4"/>
    <s v="AVERAGE SALES"/>
    <n v="3"/>
  </r>
  <r>
    <n v="2217"/>
    <s v="2024-01-17"/>
    <s v="John"/>
    <x v="3"/>
    <x v="2"/>
    <x v="2"/>
    <x v="7"/>
    <s v="Amit"/>
    <x v="4"/>
    <n v="58232"/>
    <x v="216"/>
    <n v="11646.4"/>
    <x v="3"/>
    <x v="216"/>
    <x v="0"/>
    <n v="20153"/>
    <s v="Home Office"/>
    <s v="Delivered"/>
    <n v="10"/>
    <n v="3"/>
    <s v="GOOD SALES"/>
    <n v="1"/>
  </r>
  <r>
    <n v="2218"/>
    <s v="2024-01-18"/>
    <s v="John"/>
    <x v="0"/>
    <x v="6"/>
    <x v="0"/>
    <x v="9"/>
    <s v="Amit"/>
    <x v="4"/>
    <n v="18125"/>
    <x v="217"/>
    <n v="3625"/>
    <x v="171"/>
    <x v="217"/>
    <x v="0"/>
    <n v="6262"/>
    <s v="Consumer"/>
    <s v="Cancelled"/>
    <n v="1"/>
    <n v="5"/>
    <s v="PROFIT"/>
    <n v="1"/>
  </r>
  <r>
    <n v="2219"/>
    <s v="2024-04-29"/>
    <s v="Meena"/>
    <x v="2"/>
    <x v="1"/>
    <x v="0"/>
    <x v="9"/>
    <s v="Kiran"/>
    <x v="3"/>
    <n v="3387"/>
    <x v="218"/>
    <n v="1016.1"/>
    <x v="172"/>
    <x v="218"/>
    <x v="1"/>
    <n v="1683"/>
    <s v="Consumer"/>
    <s v="Pending"/>
    <n v="9"/>
    <n v="2"/>
    <s v="PROFIT"/>
    <n v="4"/>
  </r>
  <r>
    <n v="2220"/>
    <s v="2024-03-20"/>
    <s v="Vikram"/>
    <x v="2"/>
    <x v="2"/>
    <x v="1"/>
    <x v="2"/>
    <s v="Sneha"/>
    <x v="4"/>
    <n v="40490"/>
    <x v="219"/>
    <n v="8098"/>
    <x v="173"/>
    <x v="219"/>
    <x v="2"/>
    <n v="9095"/>
    <s v="Consumer"/>
    <s v="Delivered"/>
    <n v="7"/>
    <n v="5"/>
    <s v="AVERAGE SALES"/>
    <n v="3"/>
  </r>
  <r>
    <n v="2221"/>
    <s v="2024-01-19"/>
    <s v="Sara"/>
    <x v="2"/>
    <x v="7"/>
    <x v="2"/>
    <x v="3"/>
    <s v="Amit"/>
    <x v="0"/>
    <n v="37074"/>
    <x v="220"/>
    <n v="3707.4"/>
    <x v="170"/>
    <x v="220"/>
    <x v="0"/>
    <n v="8541"/>
    <s v="Consumer"/>
    <s v="Pending"/>
    <n v="4"/>
    <n v="4"/>
    <s v="PROFIT"/>
    <n v="1"/>
  </r>
  <r>
    <n v="2222"/>
    <s v="2024-04-02"/>
    <s v="Vikram"/>
    <x v="0"/>
    <x v="1"/>
    <x v="0"/>
    <x v="6"/>
    <s v="Amit"/>
    <x v="2"/>
    <n v="23171"/>
    <x v="221"/>
    <n v="9268.4"/>
    <x v="174"/>
    <x v="221"/>
    <x v="3"/>
    <n v="23325"/>
    <s v="Corporate"/>
    <s v="Pending"/>
    <n v="4"/>
    <n v="1"/>
    <s v="AVERAGE SALES"/>
    <n v="4"/>
  </r>
  <r>
    <n v="2223"/>
    <s v="2024-04-25"/>
    <s v="Meena"/>
    <x v="1"/>
    <x v="0"/>
    <x v="2"/>
    <x v="3"/>
    <s v="Amit"/>
    <x v="4"/>
    <n v="2811"/>
    <x v="222"/>
    <n v="562.20000000000005"/>
    <x v="175"/>
    <x v="222"/>
    <x v="3"/>
    <n v="1703"/>
    <s v="Home Office"/>
    <s v="Cancelled"/>
    <n v="5"/>
    <n v="4"/>
    <s v="PROFIT"/>
    <n v="4"/>
  </r>
  <r>
    <n v="2224"/>
    <s v="2024-02-27"/>
    <s v="Vikram"/>
    <x v="2"/>
    <x v="4"/>
    <x v="2"/>
    <x v="7"/>
    <s v="Kiran"/>
    <x v="2"/>
    <n v="25120"/>
    <x v="223"/>
    <n v="10048"/>
    <x v="176"/>
    <x v="223"/>
    <x v="2"/>
    <n v="16394"/>
    <s v="Corporate"/>
    <s v="Cancelled"/>
    <n v="1"/>
    <n v="1"/>
    <s v="AVERAGE SALES"/>
    <n v="2"/>
  </r>
  <r>
    <n v="2225"/>
    <s v="2024-03-09"/>
    <s v="Divya"/>
    <x v="3"/>
    <x v="5"/>
    <x v="1"/>
    <x v="2"/>
    <s v="Kiran"/>
    <x v="3"/>
    <n v="50969"/>
    <x v="224"/>
    <n v="15290.7"/>
    <x v="177"/>
    <x v="224"/>
    <x v="0"/>
    <n v="17427"/>
    <s v="Consumer"/>
    <s v="Delivered"/>
    <n v="9"/>
    <n v="4"/>
    <s v="GOOD SALES"/>
    <n v="3"/>
  </r>
  <r>
    <n v="2226"/>
    <s v="2024-04-07"/>
    <s v="Divya"/>
    <x v="3"/>
    <x v="3"/>
    <x v="1"/>
    <x v="1"/>
    <s v="Kiran"/>
    <x v="2"/>
    <n v="46154"/>
    <x v="225"/>
    <n v="18461.599999999999"/>
    <x v="64"/>
    <x v="225"/>
    <x v="0"/>
    <n v="45627"/>
    <s v="Home Office"/>
    <s v="Cancelled"/>
    <n v="6"/>
    <n v="1"/>
    <s v="GOOD SALES"/>
    <n v="4"/>
  </r>
  <r>
    <n v="2227"/>
    <s v="2024-03-06"/>
    <s v="Divya"/>
    <x v="0"/>
    <x v="0"/>
    <x v="2"/>
    <x v="3"/>
    <s v="Sneha"/>
    <x v="0"/>
    <n v="50003"/>
    <x v="226"/>
    <n v="5000.3"/>
    <x v="178"/>
    <x v="226"/>
    <x v="3"/>
    <n v="9531"/>
    <s v="Corporate"/>
    <s v="Pending"/>
    <n v="2"/>
    <n v="5"/>
    <s v="PROFIT"/>
    <n v="3"/>
  </r>
  <r>
    <n v="2228"/>
    <s v="2024-02-13"/>
    <s v="Divya"/>
    <x v="0"/>
    <x v="5"/>
    <x v="2"/>
    <x v="3"/>
    <s v="Kiran"/>
    <x v="2"/>
    <n v="37397"/>
    <x v="227"/>
    <n v="14958.8"/>
    <x v="179"/>
    <x v="227"/>
    <x v="0"/>
    <n v="32156"/>
    <s v="Corporate"/>
    <s v="Delivered"/>
    <n v="7"/>
    <n v="1"/>
    <s v="GOOD SALES"/>
    <n v="2"/>
  </r>
  <r>
    <n v="2229"/>
    <s v="2024-01-08"/>
    <s v="Priya"/>
    <x v="3"/>
    <x v="0"/>
    <x v="0"/>
    <x v="9"/>
    <s v="Kiran"/>
    <x v="3"/>
    <n v="13235"/>
    <x v="228"/>
    <n v="3970.5"/>
    <x v="180"/>
    <x v="228"/>
    <x v="0"/>
    <n v="12302"/>
    <s v="Home Office"/>
    <s v="Cancelled"/>
    <n v="6"/>
    <n v="3"/>
    <s v="PROFIT"/>
    <n v="1"/>
  </r>
  <r>
    <n v="2230"/>
    <s v="2024-02-25"/>
    <s v="John"/>
    <x v="1"/>
    <x v="5"/>
    <x v="2"/>
    <x v="3"/>
    <s v="Rahul"/>
    <x v="1"/>
    <n v="38642"/>
    <x v="229"/>
    <n v="19321"/>
    <x v="181"/>
    <x v="229"/>
    <x v="3"/>
    <n v="45475"/>
    <s v="Home Office"/>
    <s v="Pending"/>
    <n v="9"/>
    <n v="2"/>
    <s v="GOOD SALES"/>
    <n v="2"/>
  </r>
  <r>
    <n v="2231"/>
    <s v="2024-01-23"/>
    <s v="Anjali"/>
    <x v="0"/>
    <x v="6"/>
    <x v="1"/>
    <x v="8"/>
    <s v="Amit"/>
    <x v="0"/>
    <n v="26414"/>
    <x v="230"/>
    <n v="2641.4"/>
    <x v="177"/>
    <x v="230"/>
    <x v="0"/>
    <n v="8062"/>
    <s v="Consumer"/>
    <s v="Delivered"/>
    <n v="5"/>
    <n v="5"/>
    <s v="PROFIT"/>
    <n v="1"/>
  </r>
  <r>
    <n v="2232"/>
    <s v="2024-02-12"/>
    <s v="Meena"/>
    <x v="3"/>
    <x v="6"/>
    <x v="2"/>
    <x v="3"/>
    <s v="Rahul"/>
    <x v="4"/>
    <n v="6642"/>
    <x v="231"/>
    <n v="1328.4"/>
    <x v="182"/>
    <x v="231"/>
    <x v="0"/>
    <n v="3181"/>
    <s v="Corporate"/>
    <s v="Pending"/>
    <n v="7"/>
    <n v="5"/>
    <s v="PROFIT"/>
    <n v="2"/>
  </r>
  <r>
    <n v="2233"/>
    <s v="2024-04-20"/>
    <s v="Arun"/>
    <x v="2"/>
    <x v="3"/>
    <x v="0"/>
    <x v="9"/>
    <s v="Rahul"/>
    <x v="3"/>
    <n v="34516"/>
    <x v="232"/>
    <n v="10354.799999999999"/>
    <x v="153"/>
    <x v="232"/>
    <x v="1"/>
    <n v="11281"/>
    <s v="Consumer"/>
    <s v="Cancelled"/>
    <n v="6"/>
    <n v="2"/>
    <s v="GOOD SALES"/>
    <n v="4"/>
  </r>
  <r>
    <n v="2234"/>
    <s v="2024-01-27"/>
    <s v="Vikram"/>
    <x v="3"/>
    <x v="6"/>
    <x v="2"/>
    <x v="5"/>
    <s v="Sneha"/>
    <x v="0"/>
    <n v="16837"/>
    <x v="233"/>
    <n v="1683.7"/>
    <x v="183"/>
    <x v="233"/>
    <x v="2"/>
    <n v="4601"/>
    <s v="Consumer"/>
    <s v="Cancelled"/>
    <n v="6"/>
    <n v="1"/>
    <s v="PROFIT"/>
    <n v="1"/>
  </r>
  <r>
    <n v="2235"/>
    <s v="2024-01-31"/>
    <s v="Priya"/>
    <x v="3"/>
    <x v="3"/>
    <x v="2"/>
    <x v="7"/>
    <s v="Kiran"/>
    <x v="2"/>
    <n v="8796"/>
    <x v="234"/>
    <n v="3518.4"/>
    <x v="184"/>
    <x v="234"/>
    <x v="0"/>
    <n v="4708"/>
    <s v="Home Office"/>
    <s v="Cancelled"/>
    <n v="5"/>
    <n v="1"/>
    <s v="PROFIT"/>
    <n v="1"/>
  </r>
  <r>
    <n v="2236"/>
    <s v="2024-02-20"/>
    <s v="Ramesh"/>
    <x v="2"/>
    <x v="5"/>
    <x v="0"/>
    <x v="0"/>
    <s v="Rahul"/>
    <x v="0"/>
    <n v="12677"/>
    <x v="235"/>
    <n v="1267.7"/>
    <x v="185"/>
    <x v="235"/>
    <x v="1"/>
    <n v="2649"/>
    <s v="Home Office"/>
    <s v="Delivered"/>
    <n v="2"/>
    <n v="1"/>
    <s v="PROFIT"/>
    <n v="2"/>
  </r>
  <r>
    <n v="2237"/>
    <s v="2024-04-08"/>
    <s v="Ramesh"/>
    <x v="0"/>
    <x v="3"/>
    <x v="0"/>
    <x v="0"/>
    <s v="Sneha"/>
    <x v="0"/>
    <n v="50388"/>
    <x v="236"/>
    <n v="5038.8"/>
    <x v="186"/>
    <x v="236"/>
    <x v="3"/>
    <n v="5392"/>
    <s v="Consumer"/>
    <s v="Delivered"/>
    <n v="7"/>
    <n v="1"/>
    <s v="PROFIT"/>
    <n v="4"/>
  </r>
  <r>
    <n v="2238"/>
    <s v="2024-02-02"/>
    <s v="Priya"/>
    <x v="0"/>
    <x v="7"/>
    <x v="0"/>
    <x v="6"/>
    <s v="Kiran"/>
    <x v="0"/>
    <n v="24290"/>
    <x v="237"/>
    <n v="2429"/>
    <x v="187"/>
    <x v="237"/>
    <x v="2"/>
    <n v="4368"/>
    <s v="Consumer"/>
    <s v="Cancelled"/>
    <n v="4"/>
    <n v="4"/>
    <s v="PROFIT"/>
    <n v="2"/>
  </r>
  <r>
    <n v="2239"/>
    <s v="2024-01-20"/>
    <s v="Arun"/>
    <x v="1"/>
    <x v="4"/>
    <x v="0"/>
    <x v="0"/>
    <s v="Sneha"/>
    <x v="4"/>
    <n v="17907"/>
    <x v="238"/>
    <n v="3581.4"/>
    <x v="188"/>
    <x v="238"/>
    <x v="3"/>
    <n v="5697"/>
    <s v="Corporate"/>
    <s v="Pending"/>
    <n v="10"/>
    <n v="5"/>
    <s v="PROFIT"/>
    <n v="1"/>
  </r>
  <r>
    <n v="2240"/>
    <s v="2024-03-27"/>
    <s v="Arun"/>
    <x v="3"/>
    <x v="5"/>
    <x v="0"/>
    <x v="6"/>
    <s v="Kiran"/>
    <x v="3"/>
    <n v="33688"/>
    <x v="239"/>
    <n v="10106.4"/>
    <x v="166"/>
    <x v="239"/>
    <x v="2"/>
    <n v="16441"/>
    <s v="Home Office"/>
    <s v="Delivered"/>
    <n v="9"/>
    <n v="2"/>
    <s v="AVERAGE SALES"/>
    <n v="3"/>
  </r>
  <r>
    <n v="2241"/>
    <s v="2024-04-09"/>
    <s v="Ravi"/>
    <x v="1"/>
    <x v="2"/>
    <x v="2"/>
    <x v="7"/>
    <s v="Amit"/>
    <x v="4"/>
    <n v="47699"/>
    <x v="240"/>
    <n v="9539.7999999999993"/>
    <x v="189"/>
    <x v="240"/>
    <x v="2"/>
    <n v="16231"/>
    <s v="Consumer"/>
    <s v="Pending"/>
    <n v="7"/>
    <n v="3"/>
    <s v="AVERAGE SALES"/>
    <n v="4"/>
  </r>
  <r>
    <n v="2242"/>
    <s v="2024-03-03"/>
    <s v="John"/>
    <x v="2"/>
    <x v="2"/>
    <x v="1"/>
    <x v="2"/>
    <s v="Amit"/>
    <x v="4"/>
    <n v="2125"/>
    <x v="241"/>
    <n v="425"/>
    <x v="71"/>
    <x v="241"/>
    <x v="3"/>
    <n v="1072"/>
    <s v="Home Office"/>
    <s v="Pending"/>
    <n v="3"/>
    <n v="4"/>
    <s v="PROFIT"/>
    <n v="3"/>
  </r>
  <r>
    <n v="2243"/>
    <s v="2024-01-19"/>
    <s v="Sara"/>
    <x v="3"/>
    <x v="3"/>
    <x v="2"/>
    <x v="7"/>
    <s v="Rahul"/>
    <x v="1"/>
    <n v="18766"/>
    <x v="242"/>
    <n v="9383"/>
    <x v="190"/>
    <x v="242"/>
    <x v="2"/>
    <n v="16355"/>
    <s v="Corporate"/>
    <s v="Pending"/>
    <n v="2"/>
    <n v="4"/>
    <s v="AVERAGE SALES"/>
    <n v="1"/>
  </r>
  <r>
    <n v="2244"/>
    <s v="2024-01-08"/>
    <s v="Sara"/>
    <x v="3"/>
    <x v="5"/>
    <x v="0"/>
    <x v="0"/>
    <s v="Kiran"/>
    <x v="0"/>
    <n v="8874"/>
    <x v="243"/>
    <n v="887.4"/>
    <x v="191"/>
    <x v="243"/>
    <x v="1"/>
    <n v="1769"/>
    <s v="Consumer"/>
    <s v="Delivered"/>
    <n v="9"/>
    <n v="5"/>
    <s v="PROFIT"/>
    <n v="1"/>
  </r>
  <r>
    <n v="2245"/>
    <s v="2024-04-08"/>
    <s v="Arun"/>
    <x v="2"/>
    <x v="6"/>
    <x v="0"/>
    <x v="9"/>
    <s v="Kiran"/>
    <x v="3"/>
    <n v="20328"/>
    <x v="244"/>
    <n v="6098.4"/>
    <x v="192"/>
    <x v="244"/>
    <x v="0"/>
    <n v="11781"/>
    <s v="Corporate"/>
    <s v="Pending"/>
    <n v="3"/>
    <n v="4"/>
    <s v="AVERAGE SALES"/>
    <n v="4"/>
  </r>
  <r>
    <n v="2246"/>
    <s v="2024-02-11"/>
    <s v="Priya"/>
    <x v="0"/>
    <x v="5"/>
    <x v="0"/>
    <x v="0"/>
    <s v="Sneha"/>
    <x v="1"/>
    <n v="54602"/>
    <x v="245"/>
    <n v="27301"/>
    <x v="193"/>
    <x v="245"/>
    <x v="3"/>
    <n v="59289"/>
    <s v="Consumer"/>
    <s v="Delivered"/>
    <n v="8"/>
    <n v="4"/>
    <s v="PEAK SALES"/>
    <n v="2"/>
  </r>
  <r>
    <n v="2247"/>
    <s v="2024-02-25"/>
    <s v="Vikram"/>
    <x v="1"/>
    <x v="7"/>
    <x v="2"/>
    <x v="3"/>
    <s v="Kiran"/>
    <x v="2"/>
    <n v="25697"/>
    <x v="246"/>
    <n v="10278.799999999999"/>
    <x v="8"/>
    <x v="246"/>
    <x v="3"/>
    <n v="11574"/>
    <s v="Consumer"/>
    <s v="Pending"/>
    <n v="7"/>
    <n v="3"/>
    <s v="GOOD SALES"/>
    <n v="2"/>
  </r>
  <r>
    <n v="2248"/>
    <s v="2024-01-13"/>
    <s v="Sara"/>
    <x v="1"/>
    <x v="7"/>
    <x v="1"/>
    <x v="2"/>
    <s v="Rahul"/>
    <x v="4"/>
    <n v="43486"/>
    <x v="247"/>
    <n v="8697.2000000000007"/>
    <x v="194"/>
    <x v="247"/>
    <x v="1"/>
    <n v="10947"/>
    <s v="Home Office"/>
    <s v="Pending"/>
    <n v="4"/>
    <n v="2"/>
    <s v="AVERAGE SALES"/>
    <n v="1"/>
  </r>
  <r>
    <n v="2249"/>
    <s v="2024-04-04"/>
    <s v="Arun"/>
    <x v="2"/>
    <x v="7"/>
    <x v="1"/>
    <x v="8"/>
    <s v="Sneha"/>
    <x v="1"/>
    <n v="59806"/>
    <x v="248"/>
    <n v="29903"/>
    <x v="195"/>
    <x v="248"/>
    <x v="0"/>
    <n v="86322"/>
    <s v="Corporate"/>
    <s v="Pending"/>
    <n v="4"/>
    <n v="4"/>
    <s v="PEAK SALES"/>
    <n v="4"/>
  </r>
  <r>
    <n v="2250"/>
    <s v="2024-03-20"/>
    <s v="Vikram"/>
    <x v="1"/>
    <x v="0"/>
    <x v="2"/>
    <x v="7"/>
    <s v="Amit"/>
    <x v="3"/>
    <n v="53041"/>
    <x v="249"/>
    <n v="15912.3"/>
    <x v="83"/>
    <x v="249"/>
    <x v="3"/>
    <n v="19655"/>
    <s v="Corporate"/>
    <s v="Cancelled"/>
    <n v="2"/>
    <n v="2"/>
    <s v="GOOD SALES"/>
    <n v="3"/>
  </r>
  <r>
    <n v="2251"/>
    <s v="2024-01-28"/>
    <s v="Arun"/>
    <x v="2"/>
    <x v="0"/>
    <x v="2"/>
    <x v="7"/>
    <s v="Kiran"/>
    <x v="4"/>
    <n v="23042"/>
    <x v="250"/>
    <n v="4608.3999999999996"/>
    <x v="108"/>
    <x v="250"/>
    <x v="1"/>
    <n v="5515"/>
    <s v="Home Office"/>
    <s v="Delivered"/>
    <n v="7"/>
    <n v="5"/>
    <s v="PROFIT"/>
    <n v="1"/>
  </r>
  <r>
    <n v="2252"/>
    <s v="2024-01-02"/>
    <s v="Priya"/>
    <x v="2"/>
    <x v="7"/>
    <x v="2"/>
    <x v="5"/>
    <s v="Rahul"/>
    <x v="1"/>
    <n v="54536"/>
    <x v="251"/>
    <n v="27268"/>
    <x v="20"/>
    <x v="251"/>
    <x v="3"/>
    <n v="35245"/>
    <s v="Corporate"/>
    <s v="Pending"/>
    <n v="10"/>
    <n v="1"/>
    <s v="PEAK SALES"/>
    <n v="1"/>
  </r>
  <r>
    <n v="2253"/>
    <s v="2024-02-26"/>
    <s v="Ramesh"/>
    <x v="3"/>
    <x v="6"/>
    <x v="0"/>
    <x v="6"/>
    <s v="Rahul"/>
    <x v="0"/>
    <n v="49934"/>
    <x v="252"/>
    <n v="4993.3999999999996"/>
    <x v="196"/>
    <x v="252"/>
    <x v="1"/>
    <n v="14673"/>
    <s v="Corporate"/>
    <s v="Pending"/>
    <n v="2"/>
    <n v="4"/>
    <s v="AVERAGE SALES"/>
    <n v="2"/>
  </r>
  <r>
    <n v="2254"/>
    <s v="2024-04-09"/>
    <s v="Divya"/>
    <x v="2"/>
    <x v="2"/>
    <x v="1"/>
    <x v="1"/>
    <s v="Amit"/>
    <x v="1"/>
    <n v="58335"/>
    <x v="253"/>
    <n v="29167.5"/>
    <x v="197"/>
    <x v="253"/>
    <x v="2"/>
    <n v="51095"/>
    <s v="Home Office"/>
    <s v="Cancelled"/>
    <n v="6"/>
    <n v="2"/>
    <s v="PEAK SALES"/>
    <n v="4"/>
  </r>
  <r>
    <n v="2255"/>
    <s v="2024-02-28"/>
    <s v="Vikram"/>
    <x v="3"/>
    <x v="2"/>
    <x v="0"/>
    <x v="0"/>
    <s v="Kiran"/>
    <x v="4"/>
    <n v="47334"/>
    <x v="254"/>
    <n v="9466.7999999999993"/>
    <x v="198"/>
    <x v="254"/>
    <x v="3"/>
    <n v="11188"/>
    <s v="Home Office"/>
    <s v="Cancelled"/>
    <n v="3"/>
    <n v="4"/>
    <s v="AVERAGE SALES"/>
    <n v="2"/>
  </r>
  <r>
    <n v="2256"/>
    <s v="2024-02-27"/>
    <s v="Ravi"/>
    <x v="0"/>
    <x v="1"/>
    <x v="2"/>
    <x v="7"/>
    <s v="Sneha"/>
    <x v="2"/>
    <n v="44878"/>
    <x v="255"/>
    <n v="17951.2"/>
    <x v="199"/>
    <x v="255"/>
    <x v="3"/>
    <n v="24387"/>
    <s v="Consumer"/>
    <s v="Pending"/>
    <n v="2"/>
    <n v="1"/>
    <s v="GOOD SALES"/>
    <n v="2"/>
  </r>
  <r>
    <n v="2257"/>
    <s v="2024-01-20"/>
    <s v="Arun"/>
    <x v="2"/>
    <x v="4"/>
    <x v="2"/>
    <x v="3"/>
    <s v="Sneha"/>
    <x v="1"/>
    <n v="51750"/>
    <x v="256"/>
    <n v="25875"/>
    <x v="106"/>
    <x v="256"/>
    <x v="3"/>
    <n v="39777"/>
    <s v="Home Office"/>
    <s v="Pending"/>
    <n v="1"/>
    <n v="1"/>
    <s v="PEAK SALES"/>
    <n v="1"/>
  </r>
  <r>
    <n v="2258"/>
    <s v="2024-01-09"/>
    <s v="Vikram"/>
    <x v="0"/>
    <x v="4"/>
    <x v="1"/>
    <x v="2"/>
    <s v="Kiran"/>
    <x v="2"/>
    <n v="6517"/>
    <x v="257"/>
    <n v="2606.8000000000002"/>
    <x v="200"/>
    <x v="257"/>
    <x v="1"/>
    <n v="3965"/>
    <s v="Home Office"/>
    <s v="Pending"/>
    <n v="1"/>
    <n v="4"/>
    <s v="PROFIT"/>
    <n v="1"/>
  </r>
  <r>
    <n v="2259"/>
    <s v="2024-04-18"/>
    <s v="Sara"/>
    <x v="0"/>
    <x v="1"/>
    <x v="1"/>
    <x v="1"/>
    <s v="Rahul"/>
    <x v="3"/>
    <n v="20809"/>
    <x v="258"/>
    <n v="6242.7"/>
    <x v="201"/>
    <x v="258"/>
    <x v="3"/>
    <n v="12392"/>
    <s v="Home Office"/>
    <s v="Pending"/>
    <n v="10"/>
    <n v="1"/>
    <s v="AVERAGE SALES"/>
    <n v="4"/>
  </r>
  <r>
    <n v="2260"/>
    <s v="2024-04-24"/>
    <s v="John"/>
    <x v="1"/>
    <x v="6"/>
    <x v="1"/>
    <x v="2"/>
    <s v="Sneha"/>
    <x v="2"/>
    <n v="17168"/>
    <x v="259"/>
    <n v="6867.2"/>
    <x v="44"/>
    <x v="259"/>
    <x v="3"/>
    <n v="18727"/>
    <s v="Corporate"/>
    <s v="Delivered"/>
    <n v="10"/>
    <n v="4"/>
    <s v="AVERAGE SALES"/>
    <n v="4"/>
  </r>
  <r>
    <n v="2261"/>
    <s v="2024-03-01"/>
    <s v="Anjali"/>
    <x v="0"/>
    <x v="5"/>
    <x v="2"/>
    <x v="7"/>
    <s v="Rahul"/>
    <x v="3"/>
    <n v="14962"/>
    <x v="260"/>
    <n v="4488.6000000000004"/>
    <x v="202"/>
    <x v="260"/>
    <x v="3"/>
    <n v="5569"/>
    <s v="Corporate"/>
    <s v="Delivered"/>
    <n v="1"/>
    <n v="1"/>
    <s v="PROFIT"/>
    <n v="3"/>
  </r>
  <r>
    <n v="2262"/>
    <s v="2024-01-01"/>
    <s v="Divya"/>
    <x v="1"/>
    <x v="1"/>
    <x v="2"/>
    <x v="7"/>
    <s v="Kiran"/>
    <x v="4"/>
    <n v="48697"/>
    <x v="261"/>
    <n v="9739.4"/>
    <x v="10"/>
    <x v="261"/>
    <x v="2"/>
    <n v="20449"/>
    <s v="Consumer"/>
    <s v="Pending"/>
    <n v="5"/>
    <n v="5"/>
    <s v="AVERAGE SALES"/>
    <n v="1"/>
  </r>
  <r>
    <n v="2263"/>
    <s v="2024-01-21"/>
    <s v="Sara"/>
    <x v="0"/>
    <x v="4"/>
    <x v="2"/>
    <x v="5"/>
    <s v="Sneha"/>
    <x v="1"/>
    <n v="38042"/>
    <x v="262"/>
    <n v="19021"/>
    <x v="45"/>
    <x v="262"/>
    <x v="0"/>
    <n v="29915"/>
    <s v="Corporate"/>
    <s v="Cancelled"/>
    <n v="8"/>
    <n v="4"/>
    <s v="GOOD SALES"/>
    <n v="1"/>
  </r>
  <r>
    <n v="2264"/>
    <s v="2024-04-20"/>
    <s v="Priya"/>
    <x v="1"/>
    <x v="0"/>
    <x v="0"/>
    <x v="0"/>
    <s v="Amit"/>
    <x v="0"/>
    <n v="29180"/>
    <x v="263"/>
    <n v="2918"/>
    <x v="203"/>
    <x v="263"/>
    <x v="1"/>
    <n v="3313"/>
    <s v="Home Office"/>
    <s v="Delivered"/>
    <n v="3"/>
    <n v="2"/>
    <s v="PROFIT"/>
    <n v="4"/>
  </r>
  <r>
    <n v="2265"/>
    <s v="2024-01-19"/>
    <s v="Sara"/>
    <x v="0"/>
    <x v="7"/>
    <x v="0"/>
    <x v="9"/>
    <s v="Sneha"/>
    <x v="4"/>
    <n v="58917"/>
    <x v="264"/>
    <n v="11783.4"/>
    <x v="122"/>
    <x v="264"/>
    <x v="1"/>
    <n v="16814"/>
    <s v="Home Office"/>
    <s v="Pending"/>
    <n v="7"/>
    <n v="1"/>
    <s v="GOOD SALES"/>
    <n v="1"/>
  </r>
  <r>
    <n v="2266"/>
    <s v="2024-02-27"/>
    <s v="Meena"/>
    <x v="1"/>
    <x v="2"/>
    <x v="2"/>
    <x v="3"/>
    <s v="Sneha"/>
    <x v="3"/>
    <n v="30723"/>
    <x v="265"/>
    <n v="9216.9"/>
    <x v="19"/>
    <x v="265"/>
    <x v="0"/>
    <n v="20153"/>
    <s v="Consumer"/>
    <s v="Cancelled"/>
    <n v="1"/>
    <n v="5"/>
    <s v="AVERAGE SALES"/>
    <n v="2"/>
  </r>
  <r>
    <n v="2267"/>
    <s v="2024-04-27"/>
    <s v="Anjali"/>
    <x v="3"/>
    <x v="3"/>
    <x v="0"/>
    <x v="0"/>
    <s v="Amit"/>
    <x v="3"/>
    <n v="19883"/>
    <x v="266"/>
    <n v="5964.9"/>
    <x v="204"/>
    <x v="266"/>
    <x v="3"/>
    <n v="8999"/>
    <s v="Corporate"/>
    <s v="Delivered"/>
    <n v="6"/>
    <n v="1"/>
    <s v="AVERAGE SALES"/>
    <n v="4"/>
  </r>
  <r>
    <n v="2268"/>
    <s v="2024-02-12"/>
    <s v="Arun"/>
    <x v="0"/>
    <x v="0"/>
    <x v="0"/>
    <x v="9"/>
    <s v="Amit"/>
    <x v="1"/>
    <n v="31680"/>
    <x v="267"/>
    <n v="15840"/>
    <x v="205"/>
    <x v="267"/>
    <x v="3"/>
    <n v="28101"/>
    <s v="Home Office"/>
    <s v="Pending"/>
    <n v="1"/>
    <n v="5"/>
    <s v="GOOD SALES"/>
    <n v="2"/>
  </r>
  <r>
    <n v="2269"/>
    <s v="2024-02-16"/>
    <s v="Priya"/>
    <x v="3"/>
    <x v="1"/>
    <x v="0"/>
    <x v="0"/>
    <s v="Sneha"/>
    <x v="3"/>
    <n v="10289"/>
    <x v="268"/>
    <n v="3086.7"/>
    <x v="104"/>
    <x v="268"/>
    <x v="2"/>
    <n v="5503"/>
    <s v="Consumer"/>
    <s v="Delivered"/>
    <n v="10"/>
    <n v="1"/>
    <s v="PROFIT"/>
    <n v="2"/>
  </r>
  <r>
    <n v="2270"/>
    <s v="2024-04-09"/>
    <s v="Priya"/>
    <x v="0"/>
    <x v="7"/>
    <x v="0"/>
    <x v="0"/>
    <s v="Sneha"/>
    <x v="3"/>
    <n v="33568"/>
    <x v="269"/>
    <n v="10070.4"/>
    <x v="206"/>
    <x v="269"/>
    <x v="2"/>
    <n v="10004"/>
    <s v="Corporate"/>
    <s v="Pending"/>
    <n v="6"/>
    <n v="4"/>
    <s v="AVERAGE SALES"/>
    <n v="4"/>
  </r>
  <r>
    <n v="2271"/>
    <s v="2024-03-01"/>
    <s v="Divya"/>
    <x v="2"/>
    <x v="7"/>
    <x v="1"/>
    <x v="1"/>
    <s v="Sneha"/>
    <x v="0"/>
    <n v="24461"/>
    <x v="270"/>
    <n v="2446.1"/>
    <x v="94"/>
    <x v="270"/>
    <x v="1"/>
    <n v="6386"/>
    <s v="Home Office"/>
    <s v="Cancelled"/>
    <n v="1"/>
    <n v="2"/>
    <s v="PROFIT"/>
    <n v="3"/>
  </r>
  <r>
    <n v="2272"/>
    <s v="2024-03-01"/>
    <s v="Vikram"/>
    <x v="3"/>
    <x v="6"/>
    <x v="1"/>
    <x v="8"/>
    <s v="Sneha"/>
    <x v="0"/>
    <n v="52937"/>
    <x v="271"/>
    <n v="5293.7"/>
    <x v="207"/>
    <x v="271"/>
    <x v="2"/>
    <n v="14639"/>
    <s v="Home Office"/>
    <s v="Delivered"/>
    <n v="7"/>
    <n v="5"/>
    <s v="AVERAGE SALES"/>
    <n v="3"/>
  </r>
  <r>
    <n v="2273"/>
    <s v="2024-04-12"/>
    <s v="John"/>
    <x v="0"/>
    <x v="6"/>
    <x v="1"/>
    <x v="2"/>
    <s v="Rahul"/>
    <x v="0"/>
    <n v="38116"/>
    <x v="272"/>
    <n v="3811.6"/>
    <x v="208"/>
    <x v="272"/>
    <x v="2"/>
    <n v="5415"/>
    <s v="Home Office"/>
    <s v="Pending"/>
    <n v="10"/>
    <n v="5"/>
    <s v="PROFIT"/>
    <n v="4"/>
  </r>
  <r>
    <n v="2274"/>
    <s v="2024-02-25"/>
    <s v="Priya"/>
    <x v="1"/>
    <x v="2"/>
    <x v="2"/>
    <x v="5"/>
    <s v="Amit"/>
    <x v="4"/>
    <n v="25790"/>
    <x v="273"/>
    <n v="5158"/>
    <x v="209"/>
    <x v="273"/>
    <x v="3"/>
    <n v="12254"/>
    <s v="Consumer"/>
    <s v="Delivered"/>
    <n v="10"/>
    <n v="4"/>
    <s v="PROFIT"/>
    <n v="2"/>
  </r>
  <r>
    <n v="2275"/>
    <s v="2024-02-01"/>
    <s v="Divya"/>
    <x v="2"/>
    <x v="5"/>
    <x v="0"/>
    <x v="0"/>
    <s v="Kiran"/>
    <x v="4"/>
    <n v="37762"/>
    <x v="274"/>
    <n v="7552.4"/>
    <x v="161"/>
    <x v="274"/>
    <x v="0"/>
    <n v="19623"/>
    <s v="Home Office"/>
    <s v="Cancelled"/>
    <n v="1"/>
    <n v="4"/>
    <s v="AVERAGE SALES"/>
    <n v="2"/>
  </r>
  <r>
    <n v="2276"/>
    <s v="2024-02-22"/>
    <s v="Sara"/>
    <x v="1"/>
    <x v="1"/>
    <x v="1"/>
    <x v="2"/>
    <s v="Kiran"/>
    <x v="2"/>
    <n v="55408"/>
    <x v="275"/>
    <n v="22163.200000000001"/>
    <x v="153"/>
    <x v="275"/>
    <x v="3"/>
    <n v="21886"/>
    <s v="Corporate"/>
    <s v="Pending"/>
    <n v="4"/>
    <n v="4"/>
    <s v="PEAK SALES"/>
    <n v="2"/>
  </r>
  <r>
    <n v="2277"/>
    <s v="2024-02-21"/>
    <s v="Divya"/>
    <x v="3"/>
    <x v="0"/>
    <x v="0"/>
    <x v="6"/>
    <s v="Rahul"/>
    <x v="2"/>
    <n v="54801"/>
    <x v="276"/>
    <n v="21920.400000000001"/>
    <x v="124"/>
    <x v="276"/>
    <x v="1"/>
    <n v="66346"/>
    <s v="Home Office"/>
    <s v="Cancelled"/>
    <n v="10"/>
    <n v="2"/>
    <s v="PEAK SALES"/>
    <n v="2"/>
  </r>
  <r>
    <n v="2278"/>
    <s v="2024-04-08"/>
    <s v="John"/>
    <x v="2"/>
    <x v="0"/>
    <x v="1"/>
    <x v="4"/>
    <s v="Amit"/>
    <x v="1"/>
    <n v="2485"/>
    <x v="277"/>
    <n v="1242.5"/>
    <x v="64"/>
    <x v="277"/>
    <x v="2"/>
    <n v="1333"/>
    <s v="Corporate"/>
    <s v="Delivered"/>
    <n v="4"/>
    <n v="4"/>
    <s v="PROFIT"/>
    <n v="4"/>
  </r>
  <r>
    <n v="2279"/>
    <s v="2024-02-05"/>
    <s v="Ravi"/>
    <x v="3"/>
    <x v="5"/>
    <x v="1"/>
    <x v="2"/>
    <s v="Sneha"/>
    <x v="3"/>
    <n v="23617"/>
    <x v="278"/>
    <n v="7085.1"/>
    <x v="210"/>
    <x v="278"/>
    <x v="2"/>
    <n v="13188"/>
    <s v="Home Office"/>
    <s v="Pending"/>
    <n v="1"/>
    <n v="4"/>
    <s v="AVERAGE SALES"/>
    <n v="2"/>
  </r>
  <r>
    <n v="2280"/>
    <s v="2024-03-14"/>
    <s v="Vikram"/>
    <x v="2"/>
    <x v="7"/>
    <x v="0"/>
    <x v="9"/>
    <s v="Kiran"/>
    <x v="2"/>
    <n v="57354"/>
    <x v="279"/>
    <n v="22941.599999999999"/>
    <x v="211"/>
    <x v="279"/>
    <x v="0"/>
    <n v="27691"/>
    <s v="Home Office"/>
    <s v="Delivered"/>
    <n v="3"/>
    <n v="4"/>
    <s v="PEAK SALES"/>
    <n v="3"/>
  </r>
  <r>
    <n v="2281"/>
    <s v="2024-02-03"/>
    <s v="Arun"/>
    <x v="1"/>
    <x v="6"/>
    <x v="1"/>
    <x v="8"/>
    <s v="Amit"/>
    <x v="0"/>
    <n v="17032"/>
    <x v="280"/>
    <n v="1703.2"/>
    <x v="212"/>
    <x v="280"/>
    <x v="3"/>
    <n v="2098"/>
    <s v="Home Office"/>
    <s v="Pending"/>
    <n v="4"/>
    <n v="4"/>
    <s v="PROFIT"/>
    <n v="2"/>
  </r>
  <r>
    <n v="2282"/>
    <s v="2024-01-28"/>
    <s v="Ramesh"/>
    <x v="2"/>
    <x v="1"/>
    <x v="0"/>
    <x v="9"/>
    <s v="Sneha"/>
    <x v="3"/>
    <n v="30388"/>
    <x v="281"/>
    <n v="9116.4"/>
    <x v="167"/>
    <x v="281"/>
    <x v="2"/>
    <n v="19516"/>
    <s v="Home Office"/>
    <s v="Pending"/>
    <n v="5"/>
    <n v="3"/>
    <s v="AVERAGE SALES"/>
    <n v="1"/>
  </r>
  <r>
    <n v="2283"/>
    <s v="2024-03-13"/>
    <s v="Priya"/>
    <x v="2"/>
    <x v="7"/>
    <x v="0"/>
    <x v="9"/>
    <s v="Sneha"/>
    <x v="3"/>
    <n v="40316"/>
    <x v="282"/>
    <n v="12094.8"/>
    <x v="213"/>
    <x v="282"/>
    <x v="1"/>
    <n v="26392"/>
    <s v="Consumer"/>
    <s v="Pending"/>
    <n v="9"/>
    <n v="2"/>
    <s v="GOOD SALES"/>
    <n v="3"/>
  </r>
  <r>
    <n v="2284"/>
    <s v="2024-04-09"/>
    <s v="Meena"/>
    <x v="2"/>
    <x v="2"/>
    <x v="0"/>
    <x v="9"/>
    <s v="Rahul"/>
    <x v="4"/>
    <n v="43465"/>
    <x v="283"/>
    <n v="8693"/>
    <x v="214"/>
    <x v="283"/>
    <x v="2"/>
    <n v="9515"/>
    <s v="Home Office"/>
    <s v="Pending"/>
    <n v="10"/>
    <n v="3"/>
    <s v="AVERAGE SALES"/>
    <n v="4"/>
  </r>
  <r>
    <n v="2285"/>
    <s v="2024-04-29"/>
    <s v="Divya"/>
    <x v="2"/>
    <x v="2"/>
    <x v="2"/>
    <x v="5"/>
    <s v="Kiran"/>
    <x v="0"/>
    <n v="52307"/>
    <x v="284"/>
    <n v="5230.7"/>
    <x v="215"/>
    <x v="284"/>
    <x v="0"/>
    <n v="7015"/>
    <s v="Home Office"/>
    <s v="Cancelled"/>
    <n v="10"/>
    <n v="1"/>
    <s v="PROFIT"/>
    <n v="4"/>
  </r>
  <r>
    <n v="2286"/>
    <s v="2024-03-26"/>
    <s v="Anjali"/>
    <x v="1"/>
    <x v="0"/>
    <x v="1"/>
    <x v="8"/>
    <s v="Amit"/>
    <x v="2"/>
    <n v="53261"/>
    <x v="285"/>
    <n v="21304.400000000001"/>
    <x v="216"/>
    <x v="285"/>
    <x v="2"/>
    <n v="37732"/>
    <s v="Consumer"/>
    <s v="Pending"/>
    <n v="7"/>
    <n v="5"/>
    <s v="PEAK SALES"/>
    <n v="3"/>
  </r>
  <r>
    <n v="2287"/>
    <s v="2024-01-03"/>
    <s v="Ramesh"/>
    <x v="1"/>
    <x v="4"/>
    <x v="1"/>
    <x v="2"/>
    <s v="Rahul"/>
    <x v="4"/>
    <n v="13859"/>
    <x v="286"/>
    <n v="2771.8"/>
    <x v="217"/>
    <x v="286"/>
    <x v="1"/>
    <n v="3261"/>
    <s v="Consumer"/>
    <s v="Cancelled"/>
    <n v="8"/>
    <n v="1"/>
    <s v="PROFIT"/>
    <n v="1"/>
  </r>
  <r>
    <n v="2288"/>
    <s v="2024-03-27"/>
    <s v="Anjali"/>
    <x v="3"/>
    <x v="1"/>
    <x v="0"/>
    <x v="6"/>
    <s v="Kiran"/>
    <x v="1"/>
    <n v="24555"/>
    <x v="287"/>
    <n v="12277.5"/>
    <x v="182"/>
    <x v="287"/>
    <x v="1"/>
    <n v="30359"/>
    <s v="Corporate"/>
    <s v="Cancelled"/>
    <n v="6"/>
    <n v="3"/>
    <s v="GOOD SALES"/>
    <n v="3"/>
  </r>
  <r>
    <n v="2289"/>
    <s v="2024-02-24"/>
    <s v="Sara"/>
    <x v="1"/>
    <x v="0"/>
    <x v="2"/>
    <x v="5"/>
    <s v="Sneha"/>
    <x v="2"/>
    <n v="35896"/>
    <x v="288"/>
    <n v="14358.4"/>
    <x v="97"/>
    <x v="288"/>
    <x v="0"/>
    <n v="22450"/>
    <s v="Consumer"/>
    <s v="Delivered"/>
    <n v="10"/>
    <n v="5"/>
    <s v="GOOD SALES"/>
    <n v="2"/>
  </r>
  <r>
    <n v="2290"/>
    <s v="2024-04-01"/>
    <s v="Meena"/>
    <x v="0"/>
    <x v="1"/>
    <x v="2"/>
    <x v="3"/>
    <s v="Rahul"/>
    <x v="3"/>
    <n v="37592"/>
    <x v="289"/>
    <n v="11277.6"/>
    <x v="85"/>
    <x v="289"/>
    <x v="3"/>
    <n v="26123"/>
    <s v="Home Office"/>
    <s v="Delivered"/>
    <n v="6"/>
    <n v="3"/>
    <s v="GOOD SALES"/>
    <n v="4"/>
  </r>
  <r>
    <n v="2291"/>
    <s v="2024-03-06"/>
    <s v="Anjali"/>
    <x v="1"/>
    <x v="1"/>
    <x v="0"/>
    <x v="9"/>
    <s v="Amit"/>
    <x v="0"/>
    <n v="21808"/>
    <x v="290"/>
    <n v="2180.8000000000002"/>
    <x v="218"/>
    <x v="290"/>
    <x v="3"/>
    <n v="5819"/>
    <s v="Consumer"/>
    <s v="Pending"/>
    <n v="8"/>
    <n v="2"/>
    <s v="PROFIT"/>
    <n v="3"/>
  </r>
  <r>
    <n v="2292"/>
    <s v="2024-01-03"/>
    <s v="Priya"/>
    <x v="2"/>
    <x v="1"/>
    <x v="0"/>
    <x v="6"/>
    <s v="Sneha"/>
    <x v="0"/>
    <n v="52875"/>
    <x v="291"/>
    <n v="5287.5"/>
    <x v="219"/>
    <x v="291"/>
    <x v="2"/>
    <n v="5723"/>
    <s v="Consumer"/>
    <s v="Cancelled"/>
    <n v="2"/>
    <n v="3"/>
    <s v="AVERAGE SALES"/>
    <n v="1"/>
  </r>
  <r>
    <n v="2293"/>
    <s v="2024-02-02"/>
    <s v="Ravi"/>
    <x v="0"/>
    <x v="4"/>
    <x v="1"/>
    <x v="1"/>
    <s v="Kiran"/>
    <x v="1"/>
    <n v="11565"/>
    <x v="292"/>
    <n v="5782.5"/>
    <x v="142"/>
    <x v="292"/>
    <x v="1"/>
    <n v="5847"/>
    <s v="Consumer"/>
    <s v="Cancelled"/>
    <n v="2"/>
    <n v="1"/>
    <s v="AVERAGE SALES"/>
    <n v="2"/>
  </r>
  <r>
    <n v="2294"/>
    <s v="2024-02-09"/>
    <s v="Sara"/>
    <x v="2"/>
    <x v="1"/>
    <x v="0"/>
    <x v="0"/>
    <s v="Sneha"/>
    <x v="1"/>
    <n v="56298"/>
    <x v="293"/>
    <n v="28149"/>
    <x v="44"/>
    <x v="293"/>
    <x v="0"/>
    <n v="38019"/>
    <s v="Corporate"/>
    <s v="Cancelled"/>
    <n v="5"/>
    <n v="4"/>
    <s v="PEAK SALES"/>
    <n v="2"/>
  </r>
  <r>
    <n v="2295"/>
    <s v="2024-03-21"/>
    <s v="Ravi"/>
    <x v="2"/>
    <x v="7"/>
    <x v="0"/>
    <x v="9"/>
    <s v="Kiran"/>
    <x v="3"/>
    <n v="16363"/>
    <x v="294"/>
    <n v="4908.8999999999996"/>
    <x v="182"/>
    <x v="294"/>
    <x v="3"/>
    <n v="6857"/>
    <s v="Home Office"/>
    <s v="Cancelled"/>
    <n v="10"/>
    <n v="3"/>
    <s v="PROFIT"/>
    <n v="3"/>
  </r>
  <r>
    <n v="2296"/>
    <s v="2024-02-27"/>
    <s v="Meena"/>
    <x v="0"/>
    <x v="1"/>
    <x v="0"/>
    <x v="6"/>
    <s v="Sneha"/>
    <x v="3"/>
    <n v="25123"/>
    <x v="295"/>
    <n v="7536.9"/>
    <x v="220"/>
    <x v="295"/>
    <x v="3"/>
    <n v="19236"/>
    <s v="Home Office"/>
    <s v="Delivered"/>
    <n v="7"/>
    <n v="4"/>
    <s v="AVERAGE SALES"/>
    <n v="2"/>
  </r>
  <r>
    <n v="2297"/>
    <s v="2024-03-01"/>
    <s v="John"/>
    <x v="3"/>
    <x v="4"/>
    <x v="1"/>
    <x v="2"/>
    <s v="Kiran"/>
    <x v="3"/>
    <n v="3560"/>
    <x v="296"/>
    <n v="1068"/>
    <x v="37"/>
    <x v="296"/>
    <x v="3"/>
    <n v="2211"/>
    <s v="Home Office"/>
    <s v="Cancelled"/>
    <n v="9"/>
    <n v="4"/>
    <s v="PROFIT"/>
    <n v="3"/>
  </r>
  <r>
    <n v="2298"/>
    <s v="2024-01-16"/>
    <s v="Meena"/>
    <x v="3"/>
    <x v="0"/>
    <x v="2"/>
    <x v="5"/>
    <s v="Sneha"/>
    <x v="0"/>
    <n v="29912"/>
    <x v="297"/>
    <n v="2991.2"/>
    <x v="221"/>
    <x v="297"/>
    <x v="3"/>
    <n v="5819"/>
    <s v="Corporate"/>
    <s v="Delivered"/>
    <n v="5"/>
    <n v="3"/>
    <s v="PROFIT"/>
    <n v="1"/>
  </r>
  <r>
    <n v="2299"/>
    <s v="2024-02-16"/>
    <s v="Ramesh"/>
    <x v="0"/>
    <x v="3"/>
    <x v="2"/>
    <x v="3"/>
    <s v="Sneha"/>
    <x v="0"/>
    <n v="41927"/>
    <x v="298"/>
    <n v="4192.7"/>
    <x v="113"/>
    <x v="298"/>
    <x v="2"/>
    <n v="5956"/>
    <s v="Corporate"/>
    <s v="Cancelled"/>
    <n v="7"/>
    <n v="1"/>
    <s v="PROFIT"/>
    <n v="2"/>
  </r>
  <r>
    <n v="2300"/>
    <s v="2024-04-15"/>
    <s v="Sara"/>
    <x v="0"/>
    <x v="3"/>
    <x v="0"/>
    <x v="9"/>
    <s v="Amit"/>
    <x v="0"/>
    <n v="3786"/>
    <x v="299"/>
    <n v="378.6"/>
    <x v="128"/>
    <x v="299"/>
    <x v="2"/>
    <n v="440"/>
    <s v="Corporate"/>
    <s v="Cancelled"/>
    <n v="8"/>
    <n v="3"/>
    <s v="PROFIT"/>
    <n v="4"/>
  </r>
  <r>
    <n v="2301"/>
    <s v="2024-04-25"/>
    <s v="John"/>
    <x v="1"/>
    <x v="5"/>
    <x v="2"/>
    <x v="5"/>
    <s v="Kiran"/>
    <x v="3"/>
    <n v="56572"/>
    <x v="300"/>
    <n v="16971.599999999999"/>
    <x v="222"/>
    <x v="300"/>
    <x v="2"/>
    <n v="49748"/>
    <s v="Corporate"/>
    <s v="Pending"/>
    <n v="2"/>
    <n v="4"/>
    <s v="GOOD SALES"/>
    <n v="4"/>
  </r>
  <r>
    <n v="2302"/>
    <s v="2024-01-09"/>
    <s v="Vikram"/>
    <x v="2"/>
    <x v="5"/>
    <x v="2"/>
    <x v="5"/>
    <s v="Kiran"/>
    <x v="4"/>
    <n v="46269"/>
    <x v="301"/>
    <n v="9253.7999999999993"/>
    <x v="223"/>
    <x v="301"/>
    <x v="3"/>
    <n v="11702"/>
    <s v="Corporate"/>
    <s v="Cancelled"/>
    <n v="8"/>
    <n v="4"/>
    <s v="AVERAGE SALES"/>
    <n v="1"/>
  </r>
  <r>
    <n v="2303"/>
    <s v="2024-02-29"/>
    <s v="Meena"/>
    <x v="2"/>
    <x v="0"/>
    <x v="1"/>
    <x v="2"/>
    <s v="Kiran"/>
    <x v="1"/>
    <n v="35973"/>
    <x v="302"/>
    <n v="17986.5"/>
    <x v="224"/>
    <x v="302"/>
    <x v="2"/>
    <n v="49666"/>
    <s v="Corporate"/>
    <s v="Pending"/>
    <n v="7"/>
    <n v="2"/>
    <s v="GOOD SALES"/>
    <n v="2"/>
  </r>
  <r>
    <n v="2304"/>
    <s v="2024-04-20"/>
    <s v="Vikram"/>
    <x v="0"/>
    <x v="7"/>
    <x v="1"/>
    <x v="4"/>
    <s v="Amit"/>
    <x v="1"/>
    <n v="24977"/>
    <x v="303"/>
    <n v="12488.5"/>
    <x v="225"/>
    <x v="303"/>
    <x v="1"/>
    <n v="16573"/>
    <s v="Consumer"/>
    <s v="Pending"/>
    <n v="9"/>
    <n v="3"/>
    <s v="GOOD SALES"/>
    <n v="4"/>
  </r>
  <r>
    <n v="2305"/>
    <s v="2024-03-13"/>
    <s v="Sara"/>
    <x v="0"/>
    <x v="1"/>
    <x v="1"/>
    <x v="4"/>
    <s v="Kiran"/>
    <x v="4"/>
    <n v="26871"/>
    <x v="304"/>
    <n v="5374.2"/>
    <x v="221"/>
    <x v="304"/>
    <x v="0"/>
    <n v="13661"/>
    <s v="Consumer"/>
    <s v="Cancelled"/>
    <n v="6"/>
    <n v="3"/>
    <s v="AVERAGE SALES"/>
    <n v="3"/>
  </r>
  <r>
    <n v="2306"/>
    <s v="2024-04-18"/>
    <s v="Anjali"/>
    <x v="3"/>
    <x v="5"/>
    <x v="1"/>
    <x v="1"/>
    <s v="Amit"/>
    <x v="0"/>
    <n v="10125"/>
    <x v="305"/>
    <n v="1012.5"/>
    <x v="226"/>
    <x v="305"/>
    <x v="3"/>
    <n v="2793"/>
    <s v="Consumer"/>
    <s v="Delivered"/>
    <n v="2"/>
    <n v="5"/>
    <s v="PROFIT"/>
    <n v="4"/>
  </r>
  <r>
    <n v="2307"/>
    <s v="2024-03-15"/>
    <s v="Ravi"/>
    <x v="1"/>
    <x v="4"/>
    <x v="2"/>
    <x v="7"/>
    <s v="Sneha"/>
    <x v="1"/>
    <n v="26542"/>
    <x v="306"/>
    <n v="13271"/>
    <x v="227"/>
    <x v="306"/>
    <x v="0"/>
    <n v="27494"/>
    <s v="Home Office"/>
    <s v="Pending"/>
    <n v="6"/>
    <n v="3"/>
    <s v="GOOD SALES"/>
    <n v="3"/>
  </r>
  <r>
    <n v="2308"/>
    <s v="2024-04-28"/>
    <s v="Arun"/>
    <x v="0"/>
    <x v="7"/>
    <x v="1"/>
    <x v="4"/>
    <s v="Kiran"/>
    <x v="2"/>
    <n v="26829"/>
    <x v="307"/>
    <n v="10731.6"/>
    <x v="116"/>
    <x v="307"/>
    <x v="1"/>
    <n v="24068"/>
    <s v="Corporate"/>
    <s v="Cancelled"/>
    <n v="8"/>
    <n v="4"/>
    <s v="GOOD SALES"/>
    <n v="4"/>
  </r>
  <r>
    <n v="2309"/>
    <s v="2024-04-24"/>
    <s v="Sara"/>
    <x v="3"/>
    <x v="0"/>
    <x v="2"/>
    <x v="7"/>
    <s v="Kiran"/>
    <x v="2"/>
    <n v="51606"/>
    <x v="308"/>
    <n v="20642.400000000001"/>
    <x v="72"/>
    <x v="308"/>
    <x v="2"/>
    <n v="35705"/>
    <s v="Corporate"/>
    <s v="Pending"/>
    <n v="3"/>
    <n v="5"/>
    <s v="PEAK SALES"/>
    <n v="4"/>
  </r>
  <r>
    <n v="2310"/>
    <s v="2024-02-04"/>
    <s v="Ravi"/>
    <x v="0"/>
    <x v="0"/>
    <x v="1"/>
    <x v="1"/>
    <s v="Sneha"/>
    <x v="0"/>
    <n v="20128"/>
    <x v="309"/>
    <n v="2012.8"/>
    <x v="44"/>
    <x v="309"/>
    <x v="2"/>
    <n v="3511"/>
    <s v="Corporate"/>
    <s v="Delivered"/>
    <n v="8"/>
    <n v="2"/>
    <s v="PROFIT"/>
    <n v="2"/>
  </r>
  <r>
    <n v="2311"/>
    <s v="2024-01-25"/>
    <s v="Meena"/>
    <x v="0"/>
    <x v="1"/>
    <x v="1"/>
    <x v="4"/>
    <s v="Kiran"/>
    <x v="2"/>
    <n v="24886"/>
    <x v="310"/>
    <n v="9954.4"/>
    <x v="228"/>
    <x v="310"/>
    <x v="3"/>
    <n v="17042"/>
    <s v="Home Office"/>
    <s v="Delivered"/>
    <n v="3"/>
    <n v="5"/>
    <s v="AVERAGE SALES"/>
    <n v="1"/>
  </r>
  <r>
    <n v="2312"/>
    <s v="2024-02-08"/>
    <s v="Sara"/>
    <x v="0"/>
    <x v="7"/>
    <x v="0"/>
    <x v="6"/>
    <s v="Kiran"/>
    <x v="1"/>
    <n v="29137"/>
    <x v="311"/>
    <n v="14568.5"/>
    <x v="229"/>
    <x v="311"/>
    <x v="0"/>
    <n v="32419"/>
    <s v="Corporate"/>
    <s v="Delivered"/>
    <n v="3"/>
    <n v="4"/>
    <s v="GOOD SALES"/>
    <n v="2"/>
  </r>
  <r>
    <n v="2313"/>
    <s v="2024-01-01"/>
    <s v="Sara"/>
    <x v="1"/>
    <x v="3"/>
    <x v="1"/>
    <x v="4"/>
    <s v="Rahul"/>
    <x v="3"/>
    <n v="46484"/>
    <x v="312"/>
    <n v="13945.2"/>
    <x v="176"/>
    <x v="312"/>
    <x v="3"/>
    <n v="29957"/>
    <s v="Corporate"/>
    <s v="Delivered"/>
    <n v="5"/>
    <n v="3"/>
    <s v="GOOD SALES"/>
    <n v="1"/>
  </r>
  <r>
    <n v="2314"/>
    <s v="2024-04-07"/>
    <s v="John"/>
    <x v="0"/>
    <x v="4"/>
    <x v="1"/>
    <x v="2"/>
    <s v="Amit"/>
    <x v="2"/>
    <n v="25613"/>
    <x v="313"/>
    <n v="10245.200000000001"/>
    <x v="230"/>
    <x v="313"/>
    <x v="2"/>
    <n v="27590"/>
    <s v="Home Office"/>
    <s v="Pending"/>
    <n v="5"/>
    <n v="2"/>
    <s v="AVERAGE SALES"/>
    <n v="4"/>
  </r>
  <r>
    <n v="2315"/>
    <s v="2024-02-06"/>
    <s v="Arun"/>
    <x v="3"/>
    <x v="3"/>
    <x v="1"/>
    <x v="4"/>
    <s v="Amit"/>
    <x v="0"/>
    <n v="31575"/>
    <x v="314"/>
    <n v="3157.5"/>
    <x v="153"/>
    <x v="314"/>
    <x v="1"/>
    <n v="6447"/>
    <s v="Home Office"/>
    <s v="Cancelled"/>
    <n v="10"/>
    <n v="4"/>
    <s v="PROFIT"/>
    <n v="2"/>
  </r>
  <r>
    <n v="2316"/>
    <s v="2024-03-29"/>
    <s v="Arun"/>
    <x v="1"/>
    <x v="5"/>
    <x v="1"/>
    <x v="8"/>
    <s v="Sneha"/>
    <x v="4"/>
    <n v="32156"/>
    <x v="315"/>
    <n v="6431.2"/>
    <x v="24"/>
    <x v="315"/>
    <x v="3"/>
    <n v="11638"/>
    <s v="Consumer"/>
    <s v="Cancelled"/>
    <n v="7"/>
    <n v="2"/>
    <s v="AVERAGE SALES"/>
    <n v="3"/>
  </r>
  <r>
    <n v="2317"/>
    <s v="2024-04-30"/>
    <s v="Ramesh"/>
    <x v="1"/>
    <x v="0"/>
    <x v="0"/>
    <x v="9"/>
    <s v="Rahul"/>
    <x v="1"/>
    <n v="9886"/>
    <x v="316"/>
    <n v="4943"/>
    <x v="188"/>
    <x v="316"/>
    <x v="0"/>
    <n v="14342"/>
    <s v="Consumer"/>
    <s v="Pending"/>
    <n v="1"/>
    <n v="2"/>
    <s v="PROFIT"/>
    <n v="4"/>
  </r>
  <r>
    <n v="2318"/>
    <s v="2024-03-06"/>
    <s v="Meena"/>
    <x v="2"/>
    <x v="2"/>
    <x v="2"/>
    <x v="5"/>
    <s v="Kiran"/>
    <x v="0"/>
    <n v="50159"/>
    <x v="317"/>
    <n v="5015.8999999999996"/>
    <x v="231"/>
    <x v="317"/>
    <x v="2"/>
    <n v="7417"/>
    <s v="Home Office"/>
    <s v="Cancelled"/>
    <n v="3"/>
    <n v="2"/>
    <s v="PROFIT"/>
    <n v="3"/>
  </r>
  <r>
    <n v="2319"/>
    <s v="2024-04-28"/>
    <s v="Vikram"/>
    <x v="2"/>
    <x v="0"/>
    <x v="0"/>
    <x v="6"/>
    <s v="Kiran"/>
    <x v="1"/>
    <n v="42153"/>
    <x v="318"/>
    <n v="21076.5"/>
    <x v="232"/>
    <x v="318"/>
    <x v="0"/>
    <n v="38287"/>
    <s v="Home Office"/>
    <s v="Delivered"/>
    <n v="5"/>
    <n v="5"/>
    <s v="PEAK SALES"/>
    <n v="4"/>
  </r>
  <r>
    <n v="2320"/>
    <s v="2024-03-25"/>
    <s v="Meena"/>
    <x v="3"/>
    <x v="5"/>
    <x v="1"/>
    <x v="1"/>
    <s v="Rahul"/>
    <x v="1"/>
    <n v="12072"/>
    <x v="319"/>
    <n v="6036"/>
    <x v="91"/>
    <x v="319"/>
    <x v="2"/>
    <n v="13473"/>
    <s v="Home Office"/>
    <s v="Cancelled"/>
    <n v="8"/>
    <n v="4"/>
    <s v="AVERAGE SALES"/>
    <n v="3"/>
  </r>
  <r>
    <n v="2321"/>
    <s v="2024-01-21"/>
    <s v="Vikram"/>
    <x v="1"/>
    <x v="1"/>
    <x v="1"/>
    <x v="2"/>
    <s v="Amit"/>
    <x v="0"/>
    <n v="37423"/>
    <x v="320"/>
    <n v="3742.3"/>
    <x v="233"/>
    <x v="320"/>
    <x v="1"/>
    <n v="9955"/>
    <s v="Consumer"/>
    <s v="Pending"/>
    <n v="10"/>
    <n v="3"/>
    <s v="PROFIT"/>
    <n v="1"/>
  </r>
  <r>
    <n v="2322"/>
    <s v="2024-03-24"/>
    <s v="Meena"/>
    <x v="1"/>
    <x v="7"/>
    <x v="1"/>
    <x v="2"/>
    <s v="Kiran"/>
    <x v="2"/>
    <n v="55736"/>
    <x v="321"/>
    <n v="22294.400000000001"/>
    <x v="234"/>
    <x v="321"/>
    <x v="0"/>
    <n v="37657"/>
    <s v="Corporate"/>
    <s v="Delivered"/>
    <n v="8"/>
    <n v="4"/>
    <s v="PEAK SALES"/>
    <n v="3"/>
  </r>
  <r>
    <n v="2323"/>
    <s v="2024-02-04"/>
    <s v="Vikram"/>
    <x v="3"/>
    <x v="4"/>
    <x v="2"/>
    <x v="3"/>
    <s v="Rahul"/>
    <x v="3"/>
    <n v="13006"/>
    <x v="322"/>
    <n v="3901.8"/>
    <x v="223"/>
    <x v="322"/>
    <x v="3"/>
    <n v="9524"/>
    <s v="Consumer"/>
    <s v="Delivered"/>
    <n v="1"/>
    <n v="1"/>
    <s v="PROFIT"/>
    <n v="2"/>
  </r>
  <r>
    <n v="2324"/>
    <s v="2024-02-17"/>
    <s v="Meena"/>
    <x v="0"/>
    <x v="4"/>
    <x v="1"/>
    <x v="1"/>
    <s v="Kiran"/>
    <x v="1"/>
    <n v="50423"/>
    <x v="323"/>
    <n v="25211.5"/>
    <x v="192"/>
    <x v="323"/>
    <x v="1"/>
    <n v="24817"/>
    <s v="Corporate"/>
    <s v="Pending"/>
    <n v="3"/>
    <n v="4"/>
    <s v="PEAK SALES"/>
    <n v="2"/>
  </r>
  <r>
    <n v="2325"/>
    <s v="2024-02-21"/>
    <s v="Vikram"/>
    <x v="2"/>
    <x v="0"/>
    <x v="2"/>
    <x v="5"/>
    <s v="Sneha"/>
    <x v="2"/>
    <n v="43867"/>
    <x v="324"/>
    <n v="17546.8"/>
    <x v="235"/>
    <x v="324"/>
    <x v="2"/>
    <n v="19565"/>
    <s v="Consumer"/>
    <s v="Cancelled"/>
    <n v="10"/>
    <n v="1"/>
    <s v="GOOD SALES"/>
    <n v="2"/>
  </r>
  <r>
    <n v="2326"/>
    <s v="2024-03-31"/>
    <s v="Ramesh"/>
    <x v="2"/>
    <x v="6"/>
    <x v="1"/>
    <x v="4"/>
    <s v="Kiran"/>
    <x v="0"/>
    <n v="15132"/>
    <x v="325"/>
    <n v="1513.2"/>
    <x v="236"/>
    <x v="325"/>
    <x v="0"/>
    <n v="3015"/>
    <s v="Home Office"/>
    <s v="Delivered"/>
    <n v="9"/>
    <n v="5"/>
    <s v="PROFIT"/>
    <n v="3"/>
  </r>
  <r>
    <n v="2327"/>
    <s v="2024-01-29"/>
    <s v="Sara"/>
    <x v="3"/>
    <x v="3"/>
    <x v="0"/>
    <x v="6"/>
    <s v="Amit"/>
    <x v="0"/>
    <n v="7273"/>
    <x v="326"/>
    <n v="727.3"/>
    <x v="97"/>
    <x v="326"/>
    <x v="2"/>
    <n v="1731"/>
    <s v="Consumer"/>
    <s v="Cancelled"/>
    <n v="8"/>
    <n v="2"/>
    <s v="PROFIT"/>
    <n v="1"/>
  </r>
  <r>
    <n v="2328"/>
    <s v="2024-01-25"/>
    <s v="Arun"/>
    <x v="1"/>
    <x v="6"/>
    <x v="0"/>
    <x v="9"/>
    <s v="Rahul"/>
    <x v="3"/>
    <n v="9563"/>
    <x v="327"/>
    <n v="2868.9"/>
    <x v="72"/>
    <x v="327"/>
    <x v="3"/>
    <n v="5581"/>
    <s v="Home Office"/>
    <s v="Cancelled"/>
    <n v="4"/>
    <n v="3"/>
    <s v="PROFIT"/>
    <n v="1"/>
  </r>
  <r>
    <n v="2329"/>
    <s v="2024-01-12"/>
    <s v="Ramesh"/>
    <x v="2"/>
    <x v="5"/>
    <x v="2"/>
    <x v="5"/>
    <s v="Amit"/>
    <x v="1"/>
    <n v="55188"/>
    <x v="328"/>
    <n v="27594"/>
    <x v="237"/>
    <x v="328"/>
    <x v="1"/>
    <n v="33148"/>
    <s v="Home Office"/>
    <s v="Cancelled"/>
    <n v="8"/>
    <n v="4"/>
    <s v="PEAK SALES"/>
    <n v="1"/>
  </r>
  <r>
    <n v="2330"/>
    <s v="2024-04-27"/>
    <s v="Divya"/>
    <x v="0"/>
    <x v="0"/>
    <x v="1"/>
    <x v="2"/>
    <s v="Amit"/>
    <x v="0"/>
    <n v="12387"/>
    <x v="329"/>
    <n v="1238.7"/>
    <x v="191"/>
    <x v="329"/>
    <x v="2"/>
    <n v="1587"/>
    <s v="Consumer"/>
    <s v="Pending"/>
    <n v="6"/>
    <n v="5"/>
    <s v="PROFIT"/>
    <n v="4"/>
  </r>
  <r>
    <n v="2331"/>
    <s v="2024-02-26"/>
    <s v="Divya"/>
    <x v="2"/>
    <x v="0"/>
    <x v="0"/>
    <x v="0"/>
    <s v="Sneha"/>
    <x v="0"/>
    <n v="13640"/>
    <x v="330"/>
    <n v="1364"/>
    <x v="95"/>
    <x v="330"/>
    <x v="1"/>
    <n v="3016"/>
    <s v="Consumer"/>
    <s v="Delivered"/>
    <n v="9"/>
    <n v="1"/>
    <s v="PROFIT"/>
    <n v="2"/>
  </r>
  <r>
    <n v="2332"/>
    <s v="2024-01-16"/>
    <s v="Arun"/>
    <x v="1"/>
    <x v="7"/>
    <x v="0"/>
    <x v="9"/>
    <s v="Sneha"/>
    <x v="3"/>
    <n v="27513"/>
    <x v="331"/>
    <n v="8253.9"/>
    <x v="238"/>
    <x v="331"/>
    <x v="2"/>
    <n v="8985"/>
    <s v="Corporate"/>
    <s v="Pending"/>
    <n v="1"/>
    <n v="5"/>
    <s v="AVERAGE SALES"/>
    <n v="1"/>
  </r>
  <r>
    <n v="2333"/>
    <s v="2024-01-22"/>
    <s v="John"/>
    <x v="1"/>
    <x v="6"/>
    <x v="0"/>
    <x v="0"/>
    <s v="Kiran"/>
    <x v="0"/>
    <n v="59427"/>
    <x v="332"/>
    <n v="5942.7"/>
    <x v="230"/>
    <x v="332"/>
    <x v="2"/>
    <n v="12065"/>
    <s v="Consumer"/>
    <s v="Cancelled"/>
    <n v="3"/>
    <n v="5"/>
    <s v="AVERAGE SALES"/>
    <n v="1"/>
  </r>
  <r>
    <n v="2334"/>
    <s v="2024-04-15"/>
    <s v="Priya"/>
    <x v="3"/>
    <x v="1"/>
    <x v="2"/>
    <x v="5"/>
    <s v="Rahul"/>
    <x v="1"/>
    <n v="35813"/>
    <x v="333"/>
    <n v="17906.5"/>
    <x v="136"/>
    <x v="333"/>
    <x v="2"/>
    <n v="35581"/>
    <s v="Home Office"/>
    <s v="Cancelled"/>
    <n v="3"/>
    <n v="5"/>
    <s v="GOOD SALES"/>
    <n v="4"/>
  </r>
  <r>
    <n v="2335"/>
    <s v="2024-01-28"/>
    <s v="John"/>
    <x v="2"/>
    <x v="5"/>
    <x v="0"/>
    <x v="6"/>
    <s v="Sneha"/>
    <x v="0"/>
    <n v="9688"/>
    <x v="334"/>
    <n v="968.8"/>
    <x v="171"/>
    <x v="334"/>
    <x v="1"/>
    <n v="2513"/>
    <s v="Consumer"/>
    <s v="Delivered"/>
    <n v="6"/>
    <n v="5"/>
    <s v="PROFIT"/>
    <n v="1"/>
  </r>
  <r>
    <n v="2336"/>
    <s v="2024-03-19"/>
    <s v="Priya"/>
    <x v="2"/>
    <x v="2"/>
    <x v="1"/>
    <x v="1"/>
    <s v="Sneha"/>
    <x v="2"/>
    <n v="12068"/>
    <x v="335"/>
    <n v="4827.2"/>
    <x v="79"/>
    <x v="335"/>
    <x v="0"/>
    <n v="10559"/>
    <s v="Home Office"/>
    <s v="Cancelled"/>
    <n v="10"/>
    <n v="4"/>
    <s v="PROFIT"/>
    <n v="3"/>
  </r>
  <r>
    <n v="2337"/>
    <s v="2024-03-30"/>
    <s v="Ramesh"/>
    <x v="0"/>
    <x v="0"/>
    <x v="2"/>
    <x v="7"/>
    <s v="Rahul"/>
    <x v="0"/>
    <n v="10669"/>
    <x v="336"/>
    <n v="1066.9000000000001"/>
    <x v="239"/>
    <x v="336"/>
    <x v="1"/>
    <n v="2997"/>
    <s v="Consumer"/>
    <s v="Delivered"/>
    <n v="10"/>
    <n v="5"/>
    <s v="PROFIT"/>
    <n v="3"/>
  </r>
  <r>
    <n v="2338"/>
    <s v="2024-04-30"/>
    <s v="Ramesh"/>
    <x v="0"/>
    <x v="0"/>
    <x v="2"/>
    <x v="3"/>
    <s v="Sneha"/>
    <x v="0"/>
    <n v="21879"/>
    <x v="337"/>
    <n v="2187.9"/>
    <x v="154"/>
    <x v="337"/>
    <x v="2"/>
    <n v="2628"/>
    <s v="Home Office"/>
    <s v="Cancelled"/>
    <n v="4"/>
    <n v="2"/>
    <s v="PROFIT"/>
    <n v="4"/>
  </r>
  <r>
    <n v="2339"/>
    <s v="2024-04-02"/>
    <s v="Ramesh"/>
    <x v="2"/>
    <x v="3"/>
    <x v="0"/>
    <x v="0"/>
    <s v="Rahul"/>
    <x v="4"/>
    <n v="34104"/>
    <x v="338"/>
    <n v="6820.8"/>
    <x v="42"/>
    <x v="338"/>
    <x v="0"/>
    <n v="14178"/>
    <s v="Home Office"/>
    <s v="Pending"/>
    <n v="9"/>
    <n v="3"/>
    <s v="AVERAGE SALES"/>
    <n v="4"/>
  </r>
  <r>
    <n v="2340"/>
    <s v="2024-01-08"/>
    <s v="Ramesh"/>
    <x v="3"/>
    <x v="5"/>
    <x v="1"/>
    <x v="1"/>
    <s v="Amit"/>
    <x v="1"/>
    <n v="3457"/>
    <x v="339"/>
    <n v="1728.5"/>
    <x v="240"/>
    <x v="339"/>
    <x v="3"/>
    <n v="4321"/>
    <s v="Consumer"/>
    <s v="Pending"/>
    <n v="8"/>
    <n v="1"/>
    <s v="PROFIT"/>
    <n v="1"/>
  </r>
  <r>
    <n v="2341"/>
    <s v="2024-04-28"/>
    <s v="Arun"/>
    <x v="2"/>
    <x v="5"/>
    <x v="1"/>
    <x v="2"/>
    <s v="Kiran"/>
    <x v="1"/>
    <n v="17279"/>
    <x v="340"/>
    <n v="8639.5"/>
    <x v="176"/>
    <x v="340"/>
    <x v="0"/>
    <n v="11792"/>
    <s v="Consumer"/>
    <s v="Delivered"/>
    <n v="10"/>
    <n v="3"/>
    <s v="AVERAGE SALES"/>
    <n v="4"/>
  </r>
  <r>
    <n v="2342"/>
    <s v="2024-03-14"/>
    <s v="Vikram"/>
    <x v="1"/>
    <x v="7"/>
    <x v="2"/>
    <x v="7"/>
    <s v="Rahul"/>
    <x v="2"/>
    <n v="2868"/>
    <x v="341"/>
    <n v="1147.2"/>
    <x v="32"/>
    <x v="341"/>
    <x v="2"/>
    <n v="3162"/>
    <s v="Corporate"/>
    <s v="Pending"/>
    <n v="2"/>
    <n v="1"/>
    <s v="PROFIT"/>
    <n v="3"/>
  </r>
  <r>
    <n v="2343"/>
    <s v="2024-01-25"/>
    <s v="Priya"/>
    <x v="2"/>
    <x v="5"/>
    <x v="0"/>
    <x v="0"/>
    <s v="Amit"/>
    <x v="1"/>
    <n v="40718"/>
    <x v="342"/>
    <n v="20359"/>
    <x v="241"/>
    <x v="342"/>
    <x v="0"/>
    <n v="63736"/>
    <s v="Home Office"/>
    <s v="Pending"/>
    <n v="2"/>
    <n v="4"/>
    <s v="PEAK SALES"/>
    <n v="1"/>
  </r>
  <r>
    <n v="2344"/>
    <s v="2024-03-05"/>
    <s v="John"/>
    <x v="2"/>
    <x v="3"/>
    <x v="0"/>
    <x v="9"/>
    <s v="Rahul"/>
    <x v="0"/>
    <n v="49965"/>
    <x v="343"/>
    <n v="4996.5"/>
    <x v="242"/>
    <x v="343"/>
    <x v="3"/>
    <n v="8015"/>
    <s v="Home Office"/>
    <s v="Cancelled"/>
    <n v="5"/>
    <n v="5"/>
    <s v="PROFIT"/>
    <n v="3"/>
  </r>
  <r>
    <n v="2345"/>
    <s v="2024-03-23"/>
    <s v="Ravi"/>
    <x v="0"/>
    <x v="1"/>
    <x v="2"/>
    <x v="3"/>
    <s v="Amit"/>
    <x v="0"/>
    <n v="27745"/>
    <x v="344"/>
    <n v="2774.5"/>
    <x v="79"/>
    <x v="344"/>
    <x v="2"/>
    <n v="3095"/>
    <s v="Corporate"/>
    <s v="Cancelled"/>
    <n v="7"/>
    <n v="4"/>
    <s v="PROFIT"/>
    <n v="3"/>
  </r>
  <r>
    <n v="2346"/>
    <s v="2024-04-06"/>
    <s v="Ramesh"/>
    <x v="3"/>
    <x v="2"/>
    <x v="2"/>
    <x v="7"/>
    <s v="Rahul"/>
    <x v="4"/>
    <n v="59422"/>
    <x v="345"/>
    <n v="11884.4"/>
    <x v="4"/>
    <x v="345"/>
    <x v="2"/>
    <n v="21550"/>
    <s v="Home Office"/>
    <s v="Cancelled"/>
    <n v="6"/>
    <n v="3"/>
    <s v="GOOD SALES"/>
    <n v="4"/>
  </r>
  <r>
    <n v="2347"/>
    <s v="2024-01-15"/>
    <s v="Anjali"/>
    <x v="2"/>
    <x v="0"/>
    <x v="1"/>
    <x v="1"/>
    <s v="Sneha"/>
    <x v="2"/>
    <n v="36649"/>
    <x v="346"/>
    <n v="14659.6"/>
    <x v="243"/>
    <x v="346"/>
    <x v="1"/>
    <n v="33289"/>
    <s v="Consumer"/>
    <s v="Delivered"/>
    <n v="3"/>
    <n v="2"/>
    <s v="GOOD SALES"/>
    <n v="1"/>
  </r>
  <r>
    <n v="2348"/>
    <s v="2024-04-11"/>
    <s v="John"/>
    <x v="0"/>
    <x v="4"/>
    <x v="0"/>
    <x v="6"/>
    <s v="Amit"/>
    <x v="1"/>
    <n v="1425"/>
    <x v="347"/>
    <n v="712.5"/>
    <x v="236"/>
    <x v="347"/>
    <x v="0"/>
    <n v="1283"/>
    <s v="Home Office"/>
    <s v="Cancelled"/>
    <n v="4"/>
    <n v="2"/>
    <s v="PROFIT"/>
    <n v="4"/>
  </r>
  <r>
    <n v="2349"/>
    <s v="2024-01-21"/>
    <s v="Ramesh"/>
    <x v="3"/>
    <x v="3"/>
    <x v="1"/>
    <x v="4"/>
    <s v="Kiran"/>
    <x v="4"/>
    <n v="55485"/>
    <x v="348"/>
    <n v="11097"/>
    <x v="64"/>
    <x v="348"/>
    <x v="0"/>
    <n v="24094"/>
    <s v="Home Office"/>
    <s v="Delivered"/>
    <n v="7"/>
    <n v="4"/>
    <s v="GOOD SALES"/>
    <n v="1"/>
  </r>
  <r>
    <n v="2350"/>
    <s v="2024-02-22"/>
    <s v="Ramesh"/>
    <x v="1"/>
    <x v="0"/>
    <x v="1"/>
    <x v="2"/>
    <s v="Amit"/>
    <x v="0"/>
    <n v="1549"/>
    <x v="349"/>
    <n v="154.9"/>
    <x v="237"/>
    <x v="349"/>
    <x v="3"/>
    <n v="405"/>
    <s v="Consumer"/>
    <s v="Delivered"/>
    <n v="3"/>
    <n v="1"/>
    <s v="PROFIT"/>
    <n v="2"/>
  </r>
  <r>
    <n v="2351"/>
    <s v="2024-02-18"/>
    <s v="Ravi"/>
    <x v="3"/>
    <x v="1"/>
    <x v="0"/>
    <x v="9"/>
    <s v="Kiran"/>
    <x v="0"/>
    <n v="56482"/>
    <x v="350"/>
    <n v="5648.2"/>
    <x v="244"/>
    <x v="350"/>
    <x v="0"/>
    <n v="14882"/>
    <s v="Consumer"/>
    <s v="Cancelled"/>
    <n v="5"/>
    <n v="2"/>
    <s v="AVERAGE SALES"/>
    <n v="2"/>
  </r>
  <r>
    <n v="2352"/>
    <s v="2024-03-19"/>
    <s v="Ravi"/>
    <x v="0"/>
    <x v="7"/>
    <x v="0"/>
    <x v="0"/>
    <s v="Rahul"/>
    <x v="4"/>
    <n v="28530"/>
    <x v="351"/>
    <n v="5706"/>
    <x v="245"/>
    <x v="351"/>
    <x v="2"/>
    <n v="15311"/>
    <s v="Consumer"/>
    <s v="Pending"/>
    <n v="1"/>
    <n v="2"/>
    <s v="AVERAGE SALES"/>
    <n v="3"/>
  </r>
  <r>
    <n v="2353"/>
    <s v="2024-03-22"/>
    <s v="Priya"/>
    <x v="0"/>
    <x v="4"/>
    <x v="2"/>
    <x v="3"/>
    <s v="Sneha"/>
    <x v="0"/>
    <n v="16319"/>
    <x v="352"/>
    <n v="1631.9"/>
    <x v="243"/>
    <x v="352"/>
    <x v="0"/>
    <n v="2087"/>
    <s v="Corporate"/>
    <s v="Cancelled"/>
    <n v="2"/>
    <n v="3"/>
    <s v="PROFIT"/>
    <n v="3"/>
  </r>
  <r>
    <n v="2354"/>
    <s v="2024-02-29"/>
    <s v="Sara"/>
    <x v="0"/>
    <x v="6"/>
    <x v="0"/>
    <x v="9"/>
    <s v="Amit"/>
    <x v="0"/>
    <n v="49978"/>
    <x v="353"/>
    <n v="4997.8"/>
    <x v="165"/>
    <x v="353"/>
    <x v="3"/>
    <n v="6431"/>
    <s v="Corporate"/>
    <s v="Cancelled"/>
    <n v="2"/>
    <n v="4"/>
    <s v="PROFIT"/>
    <n v="2"/>
  </r>
  <r>
    <n v="2355"/>
    <s v="2024-03-25"/>
    <s v="Arun"/>
    <x v="1"/>
    <x v="7"/>
    <x v="0"/>
    <x v="0"/>
    <s v="Sneha"/>
    <x v="0"/>
    <n v="53534"/>
    <x v="354"/>
    <n v="5353.4"/>
    <x v="245"/>
    <x v="354"/>
    <x v="3"/>
    <n v="6568"/>
    <s v="Home Office"/>
    <s v="Pending"/>
    <n v="10"/>
    <n v="1"/>
    <s v="AVERAGE SALES"/>
    <n v="3"/>
  </r>
  <r>
    <n v="2356"/>
    <s v="2024-04-06"/>
    <s v="Ramesh"/>
    <x v="3"/>
    <x v="3"/>
    <x v="1"/>
    <x v="2"/>
    <s v="Sneha"/>
    <x v="0"/>
    <n v="57981"/>
    <x v="355"/>
    <n v="5798.1"/>
    <x v="246"/>
    <x v="355"/>
    <x v="0"/>
    <n v="13666"/>
    <s v="Corporate"/>
    <s v="Pending"/>
    <n v="3"/>
    <n v="2"/>
    <s v="AVERAGE SALES"/>
    <n v="4"/>
  </r>
  <r>
    <n v="2357"/>
    <s v="2024-02-19"/>
    <s v="Meena"/>
    <x v="3"/>
    <x v="6"/>
    <x v="1"/>
    <x v="1"/>
    <s v="Rahul"/>
    <x v="3"/>
    <n v="37543"/>
    <x v="356"/>
    <n v="11262.9"/>
    <x v="247"/>
    <x v="356"/>
    <x v="2"/>
    <n v="31750"/>
    <s v="Consumer"/>
    <s v="Cancelled"/>
    <n v="9"/>
    <n v="1"/>
    <s v="GOOD SALES"/>
    <n v="2"/>
  </r>
  <r>
    <n v="2358"/>
    <s v="2024-01-23"/>
    <s v="Sara"/>
    <x v="2"/>
    <x v="0"/>
    <x v="2"/>
    <x v="3"/>
    <s v="Amit"/>
    <x v="2"/>
    <n v="42395"/>
    <x v="357"/>
    <n v="16958"/>
    <x v="93"/>
    <x v="357"/>
    <x v="1"/>
    <n v="45495"/>
    <s v="Home Office"/>
    <s v="Delivered"/>
    <n v="7"/>
    <n v="2"/>
    <s v="GOOD SALES"/>
    <n v="1"/>
  </r>
  <r>
    <n v="2359"/>
    <s v="2024-03-10"/>
    <s v="Sara"/>
    <x v="1"/>
    <x v="5"/>
    <x v="0"/>
    <x v="9"/>
    <s v="Sneha"/>
    <x v="1"/>
    <n v="55313"/>
    <x v="358"/>
    <n v="27656.5"/>
    <x v="248"/>
    <x v="358"/>
    <x v="3"/>
    <n v="65296"/>
    <s v="Home Office"/>
    <s v="Delivered"/>
    <n v="3"/>
    <n v="1"/>
    <s v="PEAK SALES"/>
    <n v="3"/>
  </r>
  <r>
    <n v="2360"/>
    <s v="2024-01-01"/>
    <s v="Anjali"/>
    <x v="1"/>
    <x v="7"/>
    <x v="0"/>
    <x v="6"/>
    <s v="Sneha"/>
    <x v="2"/>
    <n v="6347"/>
    <x v="359"/>
    <n v="2538.8000000000002"/>
    <x v="174"/>
    <x v="359"/>
    <x v="3"/>
    <n v="3818"/>
    <s v="Corporate"/>
    <s v="Delivered"/>
    <n v="1"/>
    <n v="1"/>
    <s v="PROFIT"/>
    <n v="1"/>
  </r>
  <r>
    <n v="2361"/>
    <s v="2024-04-26"/>
    <s v="Sara"/>
    <x v="0"/>
    <x v="4"/>
    <x v="1"/>
    <x v="4"/>
    <s v="Kiran"/>
    <x v="1"/>
    <n v="3472"/>
    <x v="360"/>
    <n v="1736"/>
    <x v="249"/>
    <x v="360"/>
    <x v="1"/>
    <n v="3130"/>
    <s v="Corporate"/>
    <s v="Pending"/>
    <n v="2"/>
    <n v="4"/>
    <s v="PROFIT"/>
    <n v="4"/>
  </r>
  <r>
    <n v="2362"/>
    <s v="2024-03-19"/>
    <s v="Arun"/>
    <x v="1"/>
    <x v="6"/>
    <x v="0"/>
    <x v="0"/>
    <s v="Kiran"/>
    <x v="4"/>
    <n v="8475"/>
    <x v="361"/>
    <n v="1695"/>
    <x v="156"/>
    <x v="361"/>
    <x v="2"/>
    <n v="3296"/>
    <s v="Home Office"/>
    <s v="Pending"/>
    <n v="4"/>
    <n v="4"/>
    <s v="PROFIT"/>
    <n v="3"/>
  </r>
  <r>
    <n v="2363"/>
    <s v="2024-03-21"/>
    <s v="Anjali"/>
    <x v="1"/>
    <x v="2"/>
    <x v="1"/>
    <x v="4"/>
    <s v="Amit"/>
    <x v="2"/>
    <n v="2005"/>
    <x v="362"/>
    <n v="802"/>
    <x v="38"/>
    <x v="362"/>
    <x v="0"/>
    <n v="827"/>
    <s v="Corporate"/>
    <s v="Delivered"/>
    <n v="8"/>
    <n v="3"/>
    <s v="PROFIT"/>
    <n v="3"/>
  </r>
  <r>
    <n v="2364"/>
    <s v="2024-02-02"/>
    <s v="Arun"/>
    <x v="3"/>
    <x v="0"/>
    <x v="1"/>
    <x v="1"/>
    <s v="Kiran"/>
    <x v="0"/>
    <n v="47974"/>
    <x v="363"/>
    <n v="4797.3999999999996"/>
    <x v="126"/>
    <x v="363"/>
    <x v="2"/>
    <n v="5398"/>
    <s v="Home Office"/>
    <s v="Delivered"/>
    <n v="3"/>
    <n v="1"/>
    <s v="PROFIT"/>
    <n v="2"/>
  </r>
  <r>
    <n v="2365"/>
    <s v="2024-04-02"/>
    <s v="Divya"/>
    <x v="3"/>
    <x v="6"/>
    <x v="0"/>
    <x v="0"/>
    <s v="Rahul"/>
    <x v="1"/>
    <n v="52818"/>
    <x v="364"/>
    <n v="26409"/>
    <x v="114"/>
    <x v="364"/>
    <x v="2"/>
    <n v="49429"/>
    <s v="Corporate"/>
    <s v="Cancelled"/>
    <n v="8"/>
    <n v="4"/>
    <s v="PEAK SALES"/>
    <n v="4"/>
  </r>
  <r>
    <n v="2366"/>
    <s v="2024-01-12"/>
    <s v="Sara"/>
    <x v="2"/>
    <x v="5"/>
    <x v="0"/>
    <x v="0"/>
    <s v="Rahul"/>
    <x v="2"/>
    <n v="57519"/>
    <x v="365"/>
    <n v="23007.599999999999"/>
    <x v="150"/>
    <x v="365"/>
    <x v="0"/>
    <n v="38416"/>
    <s v="Home Office"/>
    <s v="Pending"/>
    <n v="8"/>
    <n v="2"/>
    <s v="PEAK SALES"/>
    <n v="1"/>
  </r>
  <r>
    <n v="2367"/>
    <s v="2024-04-08"/>
    <s v="Arun"/>
    <x v="2"/>
    <x v="7"/>
    <x v="1"/>
    <x v="1"/>
    <s v="Amit"/>
    <x v="3"/>
    <n v="7222"/>
    <x v="366"/>
    <n v="2166.6"/>
    <x v="138"/>
    <x v="366"/>
    <x v="2"/>
    <n v="4831"/>
    <s v="Consumer"/>
    <s v="Cancelled"/>
    <n v="5"/>
    <n v="5"/>
    <s v="PROFIT"/>
    <n v="4"/>
  </r>
  <r>
    <n v="2368"/>
    <s v="2024-01-04"/>
    <s v="Arun"/>
    <x v="3"/>
    <x v="1"/>
    <x v="2"/>
    <x v="3"/>
    <s v="Amit"/>
    <x v="1"/>
    <n v="32099"/>
    <x v="367"/>
    <n v="16049.5"/>
    <x v="250"/>
    <x v="367"/>
    <x v="0"/>
    <n v="17018"/>
    <s v="Home Office"/>
    <s v="Delivered"/>
    <n v="4"/>
    <n v="5"/>
    <s v="GOOD SALES"/>
    <n v="1"/>
  </r>
  <r>
    <n v="2369"/>
    <s v="2024-04-10"/>
    <s v="Ramesh"/>
    <x v="0"/>
    <x v="6"/>
    <x v="2"/>
    <x v="3"/>
    <s v="Amit"/>
    <x v="2"/>
    <n v="9240"/>
    <x v="368"/>
    <n v="3696"/>
    <x v="224"/>
    <x v="368"/>
    <x v="0"/>
    <n v="11253"/>
    <s v="Corporate"/>
    <s v="Pending"/>
    <n v="9"/>
    <n v="4"/>
    <s v="PROFIT"/>
    <n v="4"/>
  </r>
  <r>
    <n v="2370"/>
    <s v="2024-03-06"/>
    <s v="Anjali"/>
    <x v="3"/>
    <x v="0"/>
    <x v="2"/>
    <x v="3"/>
    <s v="Amit"/>
    <x v="1"/>
    <n v="13881"/>
    <x v="369"/>
    <n v="6940.5"/>
    <x v="251"/>
    <x v="369"/>
    <x v="0"/>
    <n v="20554"/>
    <s v="Consumer"/>
    <s v="Delivered"/>
    <n v="1"/>
    <n v="1"/>
    <s v="AVERAGE SALES"/>
    <n v="3"/>
  </r>
  <r>
    <n v="2371"/>
    <s v="2024-01-04"/>
    <s v="Sara"/>
    <x v="3"/>
    <x v="4"/>
    <x v="1"/>
    <x v="2"/>
    <s v="Amit"/>
    <x v="0"/>
    <n v="16350"/>
    <x v="370"/>
    <n v="1635"/>
    <x v="160"/>
    <x v="370"/>
    <x v="1"/>
    <n v="4232"/>
    <s v="Home Office"/>
    <s v="Cancelled"/>
    <n v="10"/>
    <n v="5"/>
    <s v="PROFIT"/>
    <n v="1"/>
  </r>
  <r>
    <n v="2372"/>
    <s v="2024-03-02"/>
    <s v="Vikram"/>
    <x v="2"/>
    <x v="4"/>
    <x v="2"/>
    <x v="5"/>
    <s v="Sneha"/>
    <x v="1"/>
    <n v="26934"/>
    <x v="371"/>
    <n v="13467"/>
    <x v="145"/>
    <x v="371"/>
    <x v="0"/>
    <n v="19273"/>
    <s v="Home Office"/>
    <s v="Cancelled"/>
    <n v="8"/>
    <n v="4"/>
    <s v="GOOD SALES"/>
    <n v="3"/>
  </r>
  <r>
    <n v="2373"/>
    <s v="2024-04-04"/>
    <s v="Arun"/>
    <x v="3"/>
    <x v="0"/>
    <x v="1"/>
    <x v="1"/>
    <s v="Amit"/>
    <x v="0"/>
    <n v="27086"/>
    <x v="372"/>
    <n v="2708.6"/>
    <x v="113"/>
    <x v="372"/>
    <x v="3"/>
    <n v="4648"/>
    <s v="Home Office"/>
    <s v="Cancelled"/>
    <n v="5"/>
    <n v="3"/>
    <s v="PROFIT"/>
    <n v="4"/>
  </r>
  <r>
    <n v="2374"/>
    <s v="2024-01-06"/>
    <s v="Anjali"/>
    <x v="0"/>
    <x v="4"/>
    <x v="0"/>
    <x v="0"/>
    <s v="Rahul"/>
    <x v="1"/>
    <n v="36495"/>
    <x v="373"/>
    <n v="18247.5"/>
    <x v="252"/>
    <x v="373"/>
    <x v="3"/>
    <n v="27286"/>
    <s v="Corporate"/>
    <s v="Cancelled"/>
    <n v="7"/>
    <n v="4"/>
    <s v="GOOD SALES"/>
    <n v="1"/>
  </r>
  <r>
    <n v="2375"/>
    <s v="2024-04-13"/>
    <s v="Vikram"/>
    <x v="0"/>
    <x v="6"/>
    <x v="0"/>
    <x v="0"/>
    <s v="Amit"/>
    <x v="4"/>
    <n v="12651"/>
    <x v="374"/>
    <n v="2530.1999999999998"/>
    <x v="162"/>
    <x v="374"/>
    <x v="2"/>
    <n v="5111"/>
    <s v="Consumer"/>
    <s v="Cancelled"/>
    <n v="10"/>
    <n v="3"/>
    <s v="PROFIT"/>
    <n v="4"/>
  </r>
  <r>
    <n v="2376"/>
    <s v="2024-02-04"/>
    <s v="Ramesh"/>
    <x v="1"/>
    <x v="7"/>
    <x v="1"/>
    <x v="8"/>
    <s v="Rahul"/>
    <x v="2"/>
    <n v="50627"/>
    <x v="375"/>
    <n v="20250.8"/>
    <x v="253"/>
    <x v="375"/>
    <x v="0"/>
    <n v="57532"/>
    <s v="Home Office"/>
    <s v="Pending"/>
    <n v="8"/>
    <n v="4"/>
    <s v="PEAK SALES"/>
    <n v="2"/>
  </r>
  <r>
    <n v="2377"/>
    <s v="2024-04-14"/>
    <s v="Anjali"/>
    <x v="1"/>
    <x v="7"/>
    <x v="0"/>
    <x v="0"/>
    <s v="Amit"/>
    <x v="0"/>
    <n v="54623"/>
    <x v="376"/>
    <n v="5462.3"/>
    <x v="182"/>
    <x v="376"/>
    <x v="2"/>
    <n v="16014"/>
    <s v="Corporate"/>
    <s v="Delivered"/>
    <n v="9"/>
    <n v="5"/>
    <s v="AVERAGE SALES"/>
    <n v="4"/>
  </r>
  <r>
    <n v="2378"/>
    <s v="2024-02-07"/>
    <s v="John"/>
    <x v="0"/>
    <x v="0"/>
    <x v="2"/>
    <x v="5"/>
    <s v="Sneha"/>
    <x v="0"/>
    <n v="8321"/>
    <x v="377"/>
    <n v="832.1"/>
    <x v="199"/>
    <x v="377"/>
    <x v="1"/>
    <n v="2101"/>
    <s v="Consumer"/>
    <s v="Cancelled"/>
    <n v="10"/>
    <n v="5"/>
    <s v="PROFIT"/>
    <n v="2"/>
  </r>
  <r>
    <n v="2379"/>
    <s v="2024-04-26"/>
    <s v="Vikram"/>
    <x v="3"/>
    <x v="3"/>
    <x v="1"/>
    <x v="1"/>
    <s v="Amit"/>
    <x v="0"/>
    <n v="32561"/>
    <x v="378"/>
    <n v="3256.1"/>
    <x v="254"/>
    <x v="378"/>
    <x v="3"/>
    <n v="6269"/>
    <s v="Home Office"/>
    <s v="Delivered"/>
    <n v="5"/>
    <n v="2"/>
    <s v="PROFIT"/>
    <n v="4"/>
  </r>
  <r>
    <n v="2380"/>
    <s v="2024-04-06"/>
    <s v="John"/>
    <x v="2"/>
    <x v="0"/>
    <x v="0"/>
    <x v="0"/>
    <s v="Rahul"/>
    <x v="0"/>
    <n v="16843"/>
    <x v="379"/>
    <n v="1684.3"/>
    <x v="255"/>
    <x v="379"/>
    <x v="3"/>
    <n v="4574"/>
    <s v="Home Office"/>
    <s v="Cancelled"/>
    <n v="6"/>
    <n v="2"/>
    <s v="PROFIT"/>
    <n v="4"/>
  </r>
  <r>
    <n v="2381"/>
    <s v="2024-03-02"/>
    <s v="Arun"/>
    <x v="3"/>
    <x v="1"/>
    <x v="2"/>
    <x v="7"/>
    <s v="Rahul"/>
    <x v="2"/>
    <n v="33734"/>
    <x v="380"/>
    <n v="13493.6"/>
    <x v="5"/>
    <x v="380"/>
    <x v="1"/>
    <n v="38976"/>
    <s v="Consumer"/>
    <s v="Pending"/>
    <n v="6"/>
    <n v="3"/>
    <s v="GOOD SALES"/>
    <n v="3"/>
  </r>
  <r>
    <n v="2382"/>
    <s v="2024-01-11"/>
    <s v="Divya"/>
    <x v="3"/>
    <x v="4"/>
    <x v="0"/>
    <x v="0"/>
    <s v="Rahul"/>
    <x v="1"/>
    <n v="16720"/>
    <x v="381"/>
    <n v="8360"/>
    <x v="256"/>
    <x v="381"/>
    <x v="2"/>
    <n v="15967"/>
    <s v="Home Office"/>
    <s v="Delivered"/>
    <n v="4"/>
    <n v="4"/>
    <s v="AVERAGE SALES"/>
    <n v="1"/>
  </r>
  <r>
    <n v="2383"/>
    <s v="2024-03-29"/>
    <s v="Priya"/>
    <x v="3"/>
    <x v="4"/>
    <x v="1"/>
    <x v="4"/>
    <s v="Sneha"/>
    <x v="1"/>
    <n v="31330"/>
    <x v="382"/>
    <n v="15665"/>
    <x v="257"/>
    <x v="382"/>
    <x v="2"/>
    <n v="18567"/>
    <s v="Corporate"/>
    <s v="Delivered"/>
    <n v="6"/>
    <n v="2"/>
    <s v="GOOD SALES"/>
    <n v="3"/>
  </r>
  <r>
    <n v="2384"/>
    <s v="2024-01-26"/>
    <s v="Sara"/>
    <x v="2"/>
    <x v="2"/>
    <x v="1"/>
    <x v="8"/>
    <s v="Sneha"/>
    <x v="2"/>
    <n v="4583"/>
    <x v="383"/>
    <n v="1833.2"/>
    <x v="258"/>
    <x v="383"/>
    <x v="3"/>
    <n v="4799"/>
    <s v="Consumer"/>
    <s v="Cancelled"/>
    <n v="6"/>
    <n v="1"/>
    <s v="PROFIT"/>
    <n v="1"/>
  </r>
  <r>
    <n v="2385"/>
    <s v="2024-03-01"/>
    <s v="Anjali"/>
    <x v="2"/>
    <x v="0"/>
    <x v="1"/>
    <x v="1"/>
    <s v="Amit"/>
    <x v="1"/>
    <n v="19527"/>
    <x v="384"/>
    <n v="9763.5"/>
    <x v="245"/>
    <x v="384"/>
    <x v="3"/>
    <n v="21778"/>
    <s v="Corporate"/>
    <s v="Cancelled"/>
    <n v="8"/>
    <n v="2"/>
    <s v="AVERAGE SALES"/>
    <n v="3"/>
  </r>
  <r>
    <n v="2386"/>
    <s v="2024-02-24"/>
    <s v="Sara"/>
    <x v="0"/>
    <x v="0"/>
    <x v="0"/>
    <x v="0"/>
    <s v="Kiran"/>
    <x v="4"/>
    <n v="50832"/>
    <x v="385"/>
    <n v="10166.4"/>
    <x v="231"/>
    <x v="385"/>
    <x v="1"/>
    <n v="20513"/>
    <s v="Consumer"/>
    <s v="Cancelled"/>
    <n v="2"/>
    <n v="5"/>
    <s v="GOOD SALES"/>
    <n v="2"/>
  </r>
  <r>
    <n v="2387"/>
    <s v="2024-02-16"/>
    <s v="Sara"/>
    <x v="1"/>
    <x v="5"/>
    <x v="1"/>
    <x v="4"/>
    <s v="Sneha"/>
    <x v="2"/>
    <n v="44533"/>
    <x v="386"/>
    <n v="17813.2"/>
    <x v="132"/>
    <x v="386"/>
    <x v="0"/>
    <n v="38815"/>
    <s v="Corporate"/>
    <s v="Delivered"/>
    <n v="3"/>
    <n v="2"/>
    <s v="GOOD SALES"/>
    <n v="2"/>
  </r>
  <r>
    <n v="2388"/>
    <s v="2024-02-10"/>
    <s v="Sara"/>
    <x v="2"/>
    <x v="2"/>
    <x v="0"/>
    <x v="6"/>
    <s v="Sneha"/>
    <x v="4"/>
    <n v="34294"/>
    <x v="387"/>
    <n v="6858.8"/>
    <x v="259"/>
    <x v="387"/>
    <x v="3"/>
    <n v="14549"/>
    <s v="Home Office"/>
    <s v="Delivered"/>
    <n v="6"/>
    <n v="3"/>
    <s v="AVERAGE SALES"/>
    <n v="2"/>
  </r>
  <r>
    <n v="2389"/>
    <s v="2024-02-18"/>
    <s v="Vikram"/>
    <x v="1"/>
    <x v="1"/>
    <x v="1"/>
    <x v="2"/>
    <s v="Rahul"/>
    <x v="2"/>
    <n v="44052"/>
    <x v="388"/>
    <n v="17620.8"/>
    <x v="184"/>
    <x v="388"/>
    <x v="3"/>
    <n v="47630"/>
    <s v="Corporate"/>
    <s v="Cancelled"/>
    <n v="4"/>
    <n v="1"/>
    <s v="GOOD SALES"/>
    <n v="2"/>
  </r>
  <r>
    <n v="2390"/>
    <s v="2024-03-07"/>
    <s v="Arun"/>
    <x v="3"/>
    <x v="6"/>
    <x v="2"/>
    <x v="5"/>
    <s v="Sneha"/>
    <x v="0"/>
    <n v="10330"/>
    <x v="389"/>
    <n v="1033"/>
    <x v="260"/>
    <x v="389"/>
    <x v="0"/>
    <n v="1554"/>
    <s v="Home Office"/>
    <s v="Cancelled"/>
    <n v="6"/>
    <n v="1"/>
    <s v="PROFIT"/>
    <n v="3"/>
  </r>
  <r>
    <n v="2391"/>
    <s v="2024-04-16"/>
    <s v="Sara"/>
    <x v="2"/>
    <x v="0"/>
    <x v="1"/>
    <x v="4"/>
    <s v="Amit"/>
    <x v="2"/>
    <n v="48239"/>
    <x v="390"/>
    <n v="19295.599999999999"/>
    <x v="261"/>
    <x v="390"/>
    <x v="2"/>
    <n v="43517"/>
    <s v="Home Office"/>
    <s v="Cancelled"/>
    <n v="3"/>
    <n v="3"/>
    <s v="GOOD SALES"/>
    <n v="4"/>
  </r>
  <r>
    <n v="2392"/>
    <s v="2024-01-21"/>
    <s v="Ravi"/>
    <x v="0"/>
    <x v="0"/>
    <x v="1"/>
    <x v="2"/>
    <s v="Sneha"/>
    <x v="1"/>
    <n v="59394"/>
    <x v="391"/>
    <n v="29697"/>
    <x v="224"/>
    <x v="391"/>
    <x v="3"/>
    <n v="41214"/>
    <s v="Consumer"/>
    <s v="Cancelled"/>
    <n v="2"/>
    <n v="3"/>
    <s v="PEAK SALES"/>
    <n v="1"/>
  </r>
  <r>
    <n v="2393"/>
    <s v="2024-01-08"/>
    <s v="Anjali"/>
    <x v="0"/>
    <x v="7"/>
    <x v="1"/>
    <x v="1"/>
    <s v="Rahul"/>
    <x v="1"/>
    <n v="4113"/>
    <x v="392"/>
    <n v="2056.5"/>
    <x v="120"/>
    <x v="392"/>
    <x v="1"/>
    <n v="5148"/>
    <s v="Home Office"/>
    <s v="Delivered"/>
    <n v="10"/>
    <n v="4"/>
    <s v="PROFIT"/>
    <n v="1"/>
  </r>
  <r>
    <n v="2394"/>
    <s v="2024-04-25"/>
    <s v="Priya"/>
    <x v="0"/>
    <x v="5"/>
    <x v="2"/>
    <x v="7"/>
    <s v="Amit"/>
    <x v="1"/>
    <n v="52170"/>
    <x v="393"/>
    <n v="26085"/>
    <x v="262"/>
    <x v="393"/>
    <x v="2"/>
    <n v="42744"/>
    <s v="Consumer"/>
    <s v="Delivered"/>
    <n v="8"/>
    <n v="4"/>
    <s v="PEAK SALES"/>
    <n v="4"/>
  </r>
  <r>
    <n v="2395"/>
    <s v="2024-03-10"/>
    <s v="Ravi"/>
    <x v="0"/>
    <x v="0"/>
    <x v="2"/>
    <x v="7"/>
    <s v="Amit"/>
    <x v="1"/>
    <n v="45739"/>
    <x v="394"/>
    <n v="22869.5"/>
    <x v="68"/>
    <x v="394"/>
    <x v="2"/>
    <n v="48521"/>
    <s v="Consumer"/>
    <s v="Delivered"/>
    <n v="4"/>
    <n v="3"/>
    <s v="PEAK SALES"/>
    <n v="3"/>
  </r>
  <r>
    <n v="2396"/>
    <s v="2024-04-27"/>
    <s v="Sara"/>
    <x v="0"/>
    <x v="4"/>
    <x v="1"/>
    <x v="2"/>
    <s v="Sneha"/>
    <x v="2"/>
    <n v="54802"/>
    <x v="395"/>
    <n v="21920.799999999999"/>
    <x v="263"/>
    <x v="395"/>
    <x v="2"/>
    <n v="36102"/>
    <s v="Consumer"/>
    <s v="Pending"/>
    <n v="2"/>
    <n v="5"/>
    <s v="PEAK SALES"/>
    <n v="4"/>
  </r>
  <r>
    <n v="2397"/>
    <s v="2024-01-18"/>
    <s v="Ramesh"/>
    <x v="0"/>
    <x v="2"/>
    <x v="0"/>
    <x v="9"/>
    <s v="Rahul"/>
    <x v="0"/>
    <n v="21906"/>
    <x v="396"/>
    <n v="2190.6"/>
    <x v="216"/>
    <x v="396"/>
    <x v="0"/>
    <n v="3630"/>
    <s v="Consumer"/>
    <s v="Delivered"/>
    <n v="1"/>
    <n v="1"/>
    <s v="PROFIT"/>
    <n v="1"/>
  </r>
  <r>
    <n v="2398"/>
    <s v="2024-04-25"/>
    <s v="Sara"/>
    <x v="3"/>
    <x v="3"/>
    <x v="2"/>
    <x v="5"/>
    <s v="Amit"/>
    <x v="2"/>
    <n v="8041"/>
    <x v="397"/>
    <n v="3216.4"/>
    <x v="113"/>
    <x v="397"/>
    <x v="0"/>
    <n v="7402"/>
    <s v="Home Office"/>
    <s v="Pending"/>
    <n v="10"/>
    <n v="4"/>
    <s v="PROFIT"/>
    <n v="4"/>
  </r>
  <r>
    <n v="2399"/>
    <s v="2024-01-21"/>
    <s v="Anjali"/>
    <x v="0"/>
    <x v="3"/>
    <x v="2"/>
    <x v="7"/>
    <s v="Sneha"/>
    <x v="0"/>
    <n v="38702"/>
    <x v="398"/>
    <n v="3870.2"/>
    <x v="264"/>
    <x v="398"/>
    <x v="0"/>
    <n v="6901"/>
    <s v="Consumer"/>
    <s v="Cancelled"/>
    <n v="8"/>
    <n v="2"/>
    <s v="PROFIT"/>
    <n v="1"/>
  </r>
  <r>
    <n v="2400"/>
    <s v="2024-01-13"/>
    <s v="Arun"/>
    <x v="1"/>
    <x v="0"/>
    <x v="0"/>
    <x v="9"/>
    <s v="Kiran"/>
    <x v="2"/>
    <n v="29781"/>
    <x v="399"/>
    <n v="11912.4"/>
    <x v="265"/>
    <x v="399"/>
    <x v="1"/>
    <n v="11728"/>
    <s v="Home Office"/>
    <s v="Pending"/>
    <n v="10"/>
    <n v="2"/>
    <s v="GOOD SALES"/>
    <n v="1"/>
  </r>
  <r>
    <n v="2401"/>
    <s v="2024-04-16"/>
    <s v="Arun"/>
    <x v="2"/>
    <x v="0"/>
    <x v="2"/>
    <x v="7"/>
    <s v="Rahul"/>
    <x v="2"/>
    <n v="36399"/>
    <x v="400"/>
    <n v="14559.6"/>
    <x v="45"/>
    <x v="400"/>
    <x v="0"/>
    <n v="18725"/>
    <s v="Home Office"/>
    <s v="Pending"/>
    <n v="7"/>
    <n v="5"/>
    <s v="GOOD SALES"/>
    <n v="4"/>
  </r>
  <r>
    <n v="2402"/>
    <s v="2024-01-11"/>
    <s v="Arun"/>
    <x v="1"/>
    <x v="5"/>
    <x v="2"/>
    <x v="7"/>
    <s v="Rahul"/>
    <x v="0"/>
    <n v="53633"/>
    <x v="401"/>
    <n v="5363.3"/>
    <x v="266"/>
    <x v="401"/>
    <x v="0"/>
    <n v="15910"/>
    <s v="Consumer"/>
    <s v="Cancelled"/>
    <n v="4"/>
    <n v="3"/>
    <s v="AVERAGE SALES"/>
    <n v="1"/>
  </r>
  <r>
    <n v="2403"/>
    <s v="2024-04-17"/>
    <s v="Ramesh"/>
    <x v="3"/>
    <x v="7"/>
    <x v="1"/>
    <x v="4"/>
    <s v="Rahul"/>
    <x v="0"/>
    <n v="26840"/>
    <x v="402"/>
    <n v="2684"/>
    <x v="267"/>
    <x v="402"/>
    <x v="2"/>
    <n v="3226"/>
    <s v="Consumer"/>
    <s v="Cancelled"/>
    <n v="6"/>
    <n v="5"/>
    <s v="PROFIT"/>
    <n v="4"/>
  </r>
  <r>
    <n v="2404"/>
    <s v="2024-03-26"/>
    <s v="Meena"/>
    <x v="2"/>
    <x v="2"/>
    <x v="2"/>
    <x v="5"/>
    <s v="Kiran"/>
    <x v="2"/>
    <n v="44363"/>
    <x v="403"/>
    <n v="17745.2"/>
    <x v="268"/>
    <x v="403"/>
    <x v="1"/>
    <n v="43977"/>
    <s v="Home Office"/>
    <s v="Delivered"/>
    <n v="7"/>
    <n v="2"/>
    <s v="GOOD SALES"/>
    <n v="3"/>
  </r>
  <r>
    <n v="2405"/>
    <s v="2024-03-22"/>
    <s v="Arun"/>
    <x v="0"/>
    <x v="0"/>
    <x v="1"/>
    <x v="2"/>
    <s v="Rahul"/>
    <x v="4"/>
    <n v="38917"/>
    <x v="404"/>
    <n v="7783.4"/>
    <x v="269"/>
    <x v="404"/>
    <x v="1"/>
    <n v="9226"/>
    <s v="Home Office"/>
    <s v="Cancelled"/>
    <n v="3"/>
    <n v="1"/>
    <s v="AVERAGE SALES"/>
    <n v="3"/>
  </r>
  <r>
    <n v="2406"/>
    <s v="2024-01-06"/>
    <s v="John"/>
    <x v="3"/>
    <x v="2"/>
    <x v="1"/>
    <x v="8"/>
    <s v="Amit"/>
    <x v="4"/>
    <n v="35981"/>
    <x v="405"/>
    <n v="7196.2"/>
    <x v="12"/>
    <x v="405"/>
    <x v="0"/>
    <n v="13457"/>
    <s v="Consumer"/>
    <s v="Delivered"/>
    <n v="2"/>
    <n v="5"/>
    <s v="AVERAGE SALES"/>
    <n v="1"/>
  </r>
  <r>
    <n v="2407"/>
    <s v="2024-01-18"/>
    <s v="Priya"/>
    <x v="3"/>
    <x v="3"/>
    <x v="0"/>
    <x v="0"/>
    <s v="Amit"/>
    <x v="4"/>
    <n v="3172"/>
    <x v="406"/>
    <n v="634.4"/>
    <x v="270"/>
    <x v="406"/>
    <x v="2"/>
    <n v="1696"/>
    <s v="Corporate"/>
    <s v="Cancelled"/>
    <n v="4"/>
    <n v="5"/>
    <s v="PROFIT"/>
    <n v="1"/>
  </r>
  <r>
    <n v="2408"/>
    <s v="2024-03-16"/>
    <s v="Arun"/>
    <x v="1"/>
    <x v="4"/>
    <x v="2"/>
    <x v="3"/>
    <s v="Kiran"/>
    <x v="1"/>
    <n v="28666"/>
    <x v="407"/>
    <n v="14333"/>
    <x v="271"/>
    <x v="407"/>
    <x v="1"/>
    <n v="15032"/>
    <s v="Corporate"/>
    <s v="Pending"/>
    <n v="5"/>
    <n v="5"/>
    <s v="GOOD SALES"/>
    <n v="3"/>
  </r>
  <r>
    <n v="2409"/>
    <s v="2024-02-08"/>
    <s v="Anjali"/>
    <x v="1"/>
    <x v="0"/>
    <x v="1"/>
    <x v="4"/>
    <s v="Amit"/>
    <x v="1"/>
    <n v="59091"/>
    <x v="408"/>
    <n v="29545.5"/>
    <x v="17"/>
    <x v="408"/>
    <x v="3"/>
    <n v="48224"/>
    <s v="Consumer"/>
    <s v="Pending"/>
    <n v="1"/>
    <n v="5"/>
    <s v="PEAK SALES"/>
    <n v="2"/>
  </r>
  <r>
    <n v="2410"/>
    <s v="2024-03-05"/>
    <s v="Anjali"/>
    <x v="3"/>
    <x v="1"/>
    <x v="2"/>
    <x v="7"/>
    <s v="Amit"/>
    <x v="2"/>
    <n v="3081"/>
    <x v="409"/>
    <n v="1232.4000000000001"/>
    <x v="272"/>
    <x v="409"/>
    <x v="0"/>
    <n v="1948"/>
    <s v="Corporate"/>
    <s v="Cancelled"/>
    <n v="7"/>
    <n v="2"/>
    <s v="PROFIT"/>
    <n v="3"/>
  </r>
  <r>
    <n v="2411"/>
    <s v="2024-03-13"/>
    <s v="Sara"/>
    <x v="3"/>
    <x v="3"/>
    <x v="2"/>
    <x v="5"/>
    <s v="Amit"/>
    <x v="0"/>
    <n v="51738"/>
    <x v="410"/>
    <n v="5173.8"/>
    <x v="273"/>
    <x v="410"/>
    <x v="0"/>
    <n v="5760"/>
    <s v="Corporate"/>
    <s v="Cancelled"/>
    <n v="8"/>
    <n v="3"/>
    <s v="PROFIT"/>
    <n v="3"/>
  </r>
  <r>
    <n v="2412"/>
    <s v="2024-02-02"/>
    <s v="Ramesh"/>
    <x v="3"/>
    <x v="5"/>
    <x v="2"/>
    <x v="5"/>
    <s v="Sneha"/>
    <x v="0"/>
    <n v="6093"/>
    <x v="411"/>
    <n v="609.29999999999995"/>
    <x v="83"/>
    <x v="411"/>
    <x v="3"/>
    <n v="739"/>
    <s v="Consumer"/>
    <s v="Cancelled"/>
    <n v="3"/>
    <n v="3"/>
    <s v="PROFIT"/>
    <n v="2"/>
  </r>
  <r>
    <n v="2413"/>
    <s v="2024-03-05"/>
    <s v="Arun"/>
    <x v="2"/>
    <x v="5"/>
    <x v="0"/>
    <x v="0"/>
    <s v="Rahul"/>
    <x v="3"/>
    <n v="50350"/>
    <x v="412"/>
    <n v="15105"/>
    <x v="157"/>
    <x v="412"/>
    <x v="1"/>
    <n v="27185"/>
    <s v="Consumer"/>
    <s v="Cancelled"/>
    <n v="9"/>
    <n v="4"/>
    <s v="GOOD SALES"/>
    <n v="3"/>
  </r>
  <r>
    <n v="2414"/>
    <s v="2024-02-28"/>
    <s v="Divya"/>
    <x v="2"/>
    <x v="7"/>
    <x v="2"/>
    <x v="3"/>
    <s v="Amit"/>
    <x v="4"/>
    <n v="39906"/>
    <x v="413"/>
    <n v="7981.2"/>
    <x v="274"/>
    <x v="413"/>
    <x v="3"/>
    <n v="13816"/>
    <s v="Home Office"/>
    <s v="Delivered"/>
    <n v="4"/>
    <n v="3"/>
    <s v="AVERAGE SALES"/>
    <n v="2"/>
  </r>
  <r>
    <n v="2415"/>
    <s v="2024-02-05"/>
    <s v="Divya"/>
    <x v="1"/>
    <x v="3"/>
    <x v="0"/>
    <x v="9"/>
    <s v="Sneha"/>
    <x v="4"/>
    <n v="42072"/>
    <x v="414"/>
    <n v="8414.4"/>
    <x v="210"/>
    <x v="414"/>
    <x v="2"/>
    <n v="12282"/>
    <s v="Home Office"/>
    <s v="Cancelled"/>
    <n v="10"/>
    <n v="2"/>
    <s v="AVERAGE SALES"/>
    <n v="2"/>
  </r>
  <r>
    <n v="2416"/>
    <s v="2024-02-08"/>
    <s v="Arun"/>
    <x v="2"/>
    <x v="3"/>
    <x v="0"/>
    <x v="0"/>
    <s v="Kiran"/>
    <x v="2"/>
    <n v="21262"/>
    <x v="415"/>
    <n v="8504.7999999999993"/>
    <x v="275"/>
    <x v="415"/>
    <x v="2"/>
    <n v="22784"/>
    <s v="Consumer"/>
    <s v="Pending"/>
    <n v="6"/>
    <n v="3"/>
    <s v="AVERAGE SALES"/>
    <n v="2"/>
  </r>
  <r>
    <n v="2417"/>
    <s v="2024-01-21"/>
    <s v="John"/>
    <x v="0"/>
    <x v="3"/>
    <x v="1"/>
    <x v="1"/>
    <s v="Sneha"/>
    <x v="1"/>
    <n v="20063"/>
    <x v="416"/>
    <n v="10031.5"/>
    <x v="178"/>
    <x v="416"/>
    <x v="3"/>
    <n v="28196"/>
    <s v="Corporate"/>
    <s v="Cancelled"/>
    <n v="3"/>
    <n v="5"/>
    <s v="GOOD SALES"/>
    <n v="1"/>
  </r>
  <r>
    <n v="2418"/>
    <s v="2024-03-30"/>
    <s v="Priya"/>
    <x v="1"/>
    <x v="4"/>
    <x v="2"/>
    <x v="7"/>
    <s v="Amit"/>
    <x v="1"/>
    <n v="55602"/>
    <x v="417"/>
    <n v="27801"/>
    <x v="276"/>
    <x v="417"/>
    <x v="3"/>
    <n v="68347"/>
    <s v="Corporate"/>
    <s v="Pending"/>
    <n v="7"/>
    <n v="2"/>
    <s v="PEAK SALES"/>
    <n v="3"/>
  </r>
  <r>
    <n v="2419"/>
    <s v="2024-01-11"/>
    <s v="Anjali"/>
    <x v="1"/>
    <x v="3"/>
    <x v="2"/>
    <x v="3"/>
    <s v="Rahul"/>
    <x v="3"/>
    <n v="8726"/>
    <x v="418"/>
    <n v="2617.8000000000002"/>
    <x v="68"/>
    <x v="418"/>
    <x v="1"/>
    <n v="4869"/>
    <s v="Home Office"/>
    <s v="Pending"/>
    <n v="4"/>
    <n v="5"/>
    <s v="PROFIT"/>
    <n v="1"/>
  </r>
  <r>
    <n v="2420"/>
    <s v="2024-01-30"/>
    <s v="Anjali"/>
    <x v="1"/>
    <x v="2"/>
    <x v="2"/>
    <x v="3"/>
    <s v="Rahul"/>
    <x v="0"/>
    <n v="28298"/>
    <x v="419"/>
    <n v="2829.8"/>
    <x v="277"/>
    <x v="419"/>
    <x v="3"/>
    <n v="3934"/>
    <s v="Home Office"/>
    <s v="Delivered"/>
    <n v="5"/>
    <n v="5"/>
    <s v="PROFIT"/>
    <n v="1"/>
  </r>
  <r>
    <n v="2421"/>
    <s v="2024-01-25"/>
    <s v="Meena"/>
    <x v="0"/>
    <x v="5"/>
    <x v="1"/>
    <x v="2"/>
    <s v="Kiran"/>
    <x v="1"/>
    <n v="32423"/>
    <x v="420"/>
    <n v="16211.5"/>
    <x v="19"/>
    <x v="420"/>
    <x v="3"/>
    <n v="33511"/>
    <s v="Home Office"/>
    <s v="Cancelled"/>
    <n v="6"/>
    <n v="5"/>
    <s v="GOOD SALES"/>
    <n v="1"/>
  </r>
  <r>
    <n v="2422"/>
    <s v="2024-04-23"/>
    <s v="Arun"/>
    <x v="0"/>
    <x v="4"/>
    <x v="0"/>
    <x v="0"/>
    <s v="Kiran"/>
    <x v="3"/>
    <n v="56386"/>
    <x v="421"/>
    <n v="16915.8"/>
    <x v="146"/>
    <x v="421"/>
    <x v="3"/>
    <n v="23979"/>
    <s v="Home Office"/>
    <s v="Pending"/>
    <n v="7"/>
    <n v="2"/>
    <s v="GOOD SALES"/>
    <n v="4"/>
  </r>
  <r>
    <n v="2423"/>
    <s v="2024-03-23"/>
    <s v="Ravi"/>
    <x v="0"/>
    <x v="2"/>
    <x v="1"/>
    <x v="2"/>
    <s v="Sneha"/>
    <x v="4"/>
    <n v="31243"/>
    <x v="422"/>
    <n v="6248.6"/>
    <x v="132"/>
    <x v="422"/>
    <x v="1"/>
    <n v="9826"/>
    <s v="Corporate"/>
    <s v="Cancelled"/>
    <n v="3"/>
    <n v="4"/>
    <s v="AVERAGE SALES"/>
    <n v="3"/>
  </r>
  <r>
    <n v="2424"/>
    <s v="2024-01-15"/>
    <s v="Anjali"/>
    <x v="3"/>
    <x v="0"/>
    <x v="1"/>
    <x v="8"/>
    <s v="Amit"/>
    <x v="0"/>
    <n v="20215"/>
    <x v="423"/>
    <n v="2021.5"/>
    <x v="100"/>
    <x v="423"/>
    <x v="1"/>
    <n v="3899"/>
    <s v="Consumer"/>
    <s v="Cancelled"/>
    <n v="1"/>
    <n v="4"/>
    <s v="PROFIT"/>
    <n v="1"/>
  </r>
  <r>
    <n v="2425"/>
    <s v="2024-03-17"/>
    <s v="Priya"/>
    <x v="3"/>
    <x v="2"/>
    <x v="0"/>
    <x v="0"/>
    <s v="Amit"/>
    <x v="4"/>
    <n v="5497"/>
    <x v="424"/>
    <n v="1099.4000000000001"/>
    <x v="275"/>
    <x v="424"/>
    <x v="1"/>
    <n v="2549"/>
    <s v="Consumer"/>
    <s v="Cancelled"/>
    <n v="9"/>
    <n v="3"/>
    <s v="PROFIT"/>
    <n v="3"/>
  </r>
  <r>
    <n v="2426"/>
    <s v="2024-04-01"/>
    <s v="Vikram"/>
    <x v="0"/>
    <x v="6"/>
    <x v="2"/>
    <x v="7"/>
    <s v="Rahul"/>
    <x v="1"/>
    <n v="58755"/>
    <x v="425"/>
    <n v="29377.5"/>
    <x v="131"/>
    <x v="425"/>
    <x v="2"/>
    <n v="28323"/>
    <s v="Corporate"/>
    <s v="Pending"/>
    <n v="7"/>
    <n v="1"/>
    <s v="PEAK SALES"/>
    <n v="4"/>
  </r>
  <r>
    <n v="2427"/>
    <s v="2024-01-27"/>
    <s v="Vikram"/>
    <x v="2"/>
    <x v="5"/>
    <x v="2"/>
    <x v="7"/>
    <s v="Kiran"/>
    <x v="3"/>
    <n v="23857"/>
    <x v="426"/>
    <n v="7157.1"/>
    <x v="278"/>
    <x v="426"/>
    <x v="3"/>
    <n v="15883"/>
    <s v="Consumer"/>
    <s v="Delivered"/>
    <n v="2"/>
    <n v="3"/>
    <s v="AVERAGE SALES"/>
    <n v="1"/>
  </r>
  <r>
    <n v="2428"/>
    <s v="2024-01-14"/>
    <s v="Priya"/>
    <x v="2"/>
    <x v="1"/>
    <x v="2"/>
    <x v="5"/>
    <s v="Sneha"/>
    <x v="1"/>
    <n v="24551"/>
    <x v="427"/>
    <n v="12275.5"/>
    <x v="157"/>
    <x v="427"/>
    <x v="2"/>
    <n v="33341"/>
    <s v="Home Office"/>
    <s v="Cancelled"/>
    <n v="10"/>
    <n v="2"/>
    <s v="GOOD SALES"/>
    <n v="1"/>
  </r>
  <r>
    <n v="2429"/>
    <s v="2024-02-09"/>
    <s v="Sara"/>
    <x v="0"/>
    <x v="7"/>
    <x v="0"/>
    <x v="9"/>
    <s v="Amit"/>
    <x v="0"/>
    <n v="19508"/>
    <x v="428"/>
    <n v="1950.8"/>
    <x v="69"/>
    <x v="428"/>
    <x v="2"/>
    <n v="2598"/>
    <s v="Corporate"/>
    <s v="Delivered"/>
    <n v="5"/>
    <n v="4"/>
    <s v="PROFIT"/>
    <n v="2"/>
  </r>
  <r>
    <n v="2430"/>
    <s v="2024-02-06"/>
    <s v="Ravi"/>
    <x v="0"/>
    <x v="5"/>
    <x v="0"/>
    <x v="0"/>
    <s v="Kiran"/>
    <x v="3"/>
    <n v="48910"/>
    <x v="429"/>
    <n v="14673"/>
    <x v="279"/>
    <x v="429"/>
    <x v="1"/>
    <n v="22279"/>
    <s v="Home Office"/>
    <s v="Delivered"/>
    <n v="10"/>
    <n v="5"/>
    <s v="GOOD SALES"/>
    <n v="2"/>
  </r>
  <r>
    <n v="2431"/>
    <s v="2024-01-23"/>
    <s v="Sara"/>
    <x v="1"/>
    <x v="5"/>
    <x v="0"/>
    <x v="6"/>
    <s v="Amit"/>
    <x v="1"/>
    <n v="1772"/>
    <x v="430"/>
    <n v="886"/>
    <x v="237"/>
    <x v="430"/>
    <x v="1"/>
    <n v="2245"/>
    <s v="Consumer"/>
    <s v="Cancelled"/>
    <n v="5"/>
    <n v="1"/>
    <s v="PROFIT"/>
    <n v="1"/>
  </r>
  <r>
    <n v="2432"/>
    <s v="2024-02-05"/>
    <s v="Anjali"/>
    <x v="0"/>
    <x v="1"/>
    <x v="0"/>
    <x v="6"/>
    <s v="Amit"/>
    <x v="4"/>
    <n v="42684"/>
    <x v="431"/>
    <n v="8536.7999999999993"/>
    <x v="59"/>
    <x v="431"/>
    <x v="0"/>
    <n v="9124"/>
    <s v="Corporate"/>
    <s v="Cancelled"/>
    <n v="5"/>
    <n v="4"/>
    <s v="AVERAGE SALES"/>
    <n v="2"/>
  </r>
  <r>
    <n v="2433"/>
    <s v="2024-02-23"/>
    <s v="Anjali"/>
    <x v="0"/>
    <x v="1"/>
    <x v="0"/>
    <x v="6"/>
    <s v="Sneha"/>
    <x v="0"/>
    <n v="48314"/>
    <x v="432"/>
    <n v="4831.3999999999996"/>
    <x v="199"/>
    <x v="432"/>
    <x v="0"/>
    <n v="6052"/>
    <s v="Home Office"/>
    <s v="Cancelled"/>
    <n v="8"/>
    <n v="4"/>
    <s v="PROFIT"/>
    <n v="2"/>
  </r>
  <r>
    <n v="2434"/>
    <s v="2024-04-11"/>
    <s v="John"/>
    <x v="0"/>
    <x v="5"/>
    <x v="2"/>
    <x v="5"/>
    <s v="Kiran"/>
    <x v="2"/>
    <n v="38470"/>
    <x v="433"/>
    <n v="15388"/>
    <x v="68"/>
    <x v="433"/>
    <x v="0"/>
    <n v="19622"/>
    <s v="Consumer"/>
    <s v="Cancelled"/>
    <n v="7"/>
    <n v="1"/>
    <s v="GOOD SALES"/>
    <n v="4"/>
  </r>
  <r>
    <n v="2435"/>
    <s v="2024-04-18"/>
    <s v="Vikram"/>
    <x v="1"/>
    <x v="5"/>
    <x v="0"/>
    <x v="9"/>
    <s v="Sneha"/>
    <x v="1"/>
    <n v="41454"/>
    <x v="434"/>
    <n v="20727"/>
    <x v="249"/>
    <x v="434"/>
    <x v="3"/>
    <n v="46933"/>
    <s v="Consumer"/>
    <s v="Cancelled"/>
    <n v="6"/>
    <n v="4"/>
    <s v="GOOD SALES"/>
    <n v="4"/>
  </r>
  <r>
    <n v="2436"/>
    <s v="2024-02-16"/>
    <s v="Divya"/>
    <x v="3"/>
    <x v="2"/>
    <x v="2"/>
    <x v="3"/>
    <s v="Kiran"/>
    <x v="4"/>
    <n v="9867"/>
    <x v="435"/>
    <n v="1973.4"/>
    <x v="280"/>
    <x v="435"/>
    <x v="3"/>
    <n v="2450"/>
    <s v="Home Office"/>
    <s v="Delivered"/>
    <n v="9"/>
    <n v="3"/>
    <s v="PROFIT"/>
    <n v="2"/>
  </r>
  <r>
    <n v="2437"/>
    <s v="2024-03-31"/>
    <s v="Ravi"/>
    <x v="2"/>
    <x v="6"/>
    <x v="0"/>
    <x v="9"/>
    <s v="Sneha"/>
    <x v="4"/>
    <n v="59144"/>
    <x v="436"/>
    <n v="11828.8"/>
    <x v="31"/>
    <x v="436"/>
    <x v="0"/>
    <n v="28473"/>
    <s v="Consumer"/>
    <s v="Pending"/>
    <n v="3"/>
    <n v="1"/>
    <s v="GOOD SALES"/>
    <n v="3"/>
  </r>
  <r>
    <n v="2438"/>
    <s v="2024-01-28"/>
    <s v="Meena"/>
    <x v="2"/>
    <x v="5"/>
    <x v="1"/>
    <x v="4"/>
    <s v="Sneha"/>
    <x v="4"/>
    <n v="38194"/>
    <x v="437"/>
    <n v="7638.8"/>
    <x v="281"/>
    <x v="437"/>
    <x v="0"/>
    <n v="10221"/>
    <s v="Corporate"/>
    <s v="Delivered"/>
    <n v="8"/>
    <n v="1"/>
    <s v="AVERAGE SALES"/>
    <n v="1"/>
  </r>
  <r>
    <n v="2439"/>
    <s v="2024-01-21"/>
    <s v="Vikram"/>
    <x v="1"/>
    <x v="7"/>
    <x v="1"/>
    <x v="4"/>
    <s v="Sneha"/>
    <x v="4"/>
    <n v="12077"/>
    <x v="438"/>
    <n v="2415.4"/>
    <x v="282"/>
    <x v="438"/>
    <x v="3"/>
    <n v="5156"/>
    <s v="Corporate"/>
    <s v="Delivered"/>
    <n v="9"/>
    <n v="3"/>
    <s v="PROFIT"/>
    <n v="1"/>
  </r>
  <r>
    <n v="2440"/>
    <s v="2024-03-01"/>
    <s v="Divya"/>
    <x v="0"/>
    <x v="0"/>
    <x v="1"/>
    <x v="4"/>
    <s v="Kiran"/>
    <x v="1"/>
    <n v="38973"/>
    <x v="439"/>
    <n v="19486.5"/>
    <x v="109"/>
    <x v="439"/>
    <x v="2"/>
    <n v="19849"/>
    <s v="Consumer"/>
    <s v="Cancelled"/>
    <n v="8"/>
    <n v="5"/>
    <s v="GOOD SALES"/>
    <n v="3"/>
  </r>
  <r>
    <n v="2441"/>
    <s v="2024-04-21"/>
    <s v="Priya"/>
    <x v="0"/>
    <x v="5"/>
    <x v="2"/>
    <x v="7"/>
    <s v="Amit"/>
    <x v="4"/>
    <n v="26980"/>
    <x v="440"/>
    <n v="5396"/>
    <x v="22"/>
    <x v="440"/>
    <x v="0"/>
    <n v="11848"/>
    <s v="Corporate"/>
    <s v="Pending"/>
    <n v="10"/>
    <n v="4"/>
    <s v="AVERAGE SALES"/>
    <n v="4"/>
  </r>
  <r>
    <n v="2442"/>
    <s v="2024-04-29"/>
    <s v="Anjali"/>
    <x v="2"/>
    <x v="0"/>
    <x v="1"/>
    <x v="4"/>
    <s v="Rahul"/>
    <x v="4"/>
    <n v="20904"/>
    <x v="441"/>
    <n v="4180.8"/>
    <x v="84"/>
    <x v="441"/>
    <x v="2"/>
    <n v="9587"/>
    <s v="Consumer"/>
    <s v="Pending"/>
    <n v="7"/>
    <n v="4"/>
    <s v="PROFIT"/>
    <n v="4"/>
  </r>
  <r>
    <n v="2443"/>
    <s v="2024-02-12"/>
    <s v="Meena"/>
    <x v="2"/>
    <x v="3"/>
    <x v="0"/>
    <x v="0"/>
    <s v="Rahul"/>
    <x v="2"/>
    <n v="50717"/>
    <x v="442"/>
    <n v="20286.8"/>
    <x v="157"/>
    <x v="442"/>
    <x v="0"/>
    <n v="20703"/>
    <s v="Home Office"/>
    <s v="Delivered"/>
    <n v="10"/>
    <n v="5"/>
    <s v="GOOD SALES"/>
    <n v="2"/>
  </r>
  <r>
    <n v="2444"/>
    <s v="2024-02-17"/>
    <s v="Arun"/>
    <x v="1"/>
    <x v="2"/>
    <x v="0"/>
    <x v="9"/>
    <s v="Amit"/>
    <x v="0"/>
    <n v="28171"/>
    <x v="443"/>
    <n v="2817.1"/>
    <x v="32"/>
    <x v="443"/>
    <x v="2"/>
    <n v="4812"/>
    <s v="Home Office"/>
    <s v="Cancelled"/>
    <n v="2"/>
    <n v="4"/>
    <s v="PROFIT"/>
    <n v="2"/>
  </r>
  <r>
    <n v="2445"/>
    <s v="2024-02-16"/>
    <s v="Ramesh"/>
    <x v="0"/>
    <x v="4"/>
    <x v="1"/>
    <x v="2"/>
    <s v="Rahul"/>
    <x v="3"/>
    <n v="46451"/>
    <x v="444"/>
    <n v="13935.3"/>
    <x v="276"/>
    <x v="444"/>
    <x v="3"/>
    <n v="17613"/>
    <s v="Consumer"/>
    <s v="Cancelled"/>
    <n v="5"/>
    <n v="5"/>
    <s v="GOOD SALES"/>
    <n v="2"/>
  </r>
  <r>
    <n v="2446"/>
    <s v="2024-03-18"/>
    <s v="Ramesh"/>
    <x v="2"/>
    <x v="2"/>
    <x v="1"/>
    <x v="1"/>
    <s v="Amit"/>
    <x v="2"/>
    <n v="5670"/>
    <x v="445"/>
    <n v="2268"/>
    <x v="283"/>
    <x v="445"/>
    <x v="1"/>
    <n v="4660"/>
    <s v="Home Office"/>
    <s v="Delivered"/>
    <n v="7"/>
    <n v="3"/>
    <s v="PROFIT"/>
    <n v="3"/>
  </r>
  <r>
    <n v="2447"/>
    <s v="2024-04-20"/>
    <s v="John"/>
    <x v="0"/>
    <x v="3"/>
    <x v="0"/>
    <x v="6"/>
    <s v="Sneha"/>
    <x v="1"/>
    <n v="11144"/>
    <x v="446"/>
    <n v="5572"/>
    <x v="76"/>
    <x v="446"/>
    <x v="1"/>
    <n v="7704"/>
    <s v="Home Office"/>
    <s v="Pending"/>
    <n v="10"/>
    <n v="2"/>
    <s v="AVERAGE SALES"/>
    <n v="4"/>
  </r>
  <r>
    <n v="2448"/>
    <s v="2024-02-05"/>
    <s v="Divya"/>
    <x v="1"/>
    <x v="1"/>
    <x v="2"/>
    <x v="5"/>
    <s v="Sneha"/>
    <x v="4"/>
    <n v="36911"/>
    <x v="447"/>
    <n v="7382.2"/>
    <x v="272"/>
    <x v="447"/>
    <x v="2"/>
    <n v="15245"/>
    <s v="Corporate"/>
    <s v="Cancelled"/>
    <n v="5"/>
    <n v="4"/>
    <s v="AVERAGE SALES"/>
    <n v="2"/>
  </r>
  <r>
    <n v="2449"/>
    <s v="2024-03-13"/>
    <s v="Sara"/>
    <x v="3"/>
    <x v="2"/>
    <x v="0"/>
    <x v="0"/>
    <s v="Sneha"/>
    <x v="1"/>
    <n v="13209"/>
    <x v="448"/>
    <n v="6604.5"/>
    <x v="51"/>
    <x v="448"/>
    <x v="1"/>
    <n v="12713"/>
    <s v="Home Office"/>
    <s v="Pending"/>
    <n v="7"/>
    <n v="5"/>
    <s v="AVERAGE SALES"/>
    <n v="3"/>
  </r>
  <r>
    <n v="2450"/>
    <s v="2024-02-10"/>
    <s v="Vikram"/>
    <x v="3"/>
    <x v="5"/>
    <x v="2"/>
    <x v="5"/>
    <s v="Sneha"/>
    <x v="4"/>
    <n v="59032"/>
    <x v="449"/>
    <n v="11806.4"/>
    <x v="284"/>
    <x v="449"/>
    <x v="2"/>
    <n v="28752"/>
    <s v="Consumer"/>
    <s v="Cancelled"/>
    <n v="10"/>
    <n v="2"/>
    <s v="GOOD SALES"/>
    <n v="2"/>
  </r>
  <r>
    <n v="2451"/>
    <s v="2024-02-03"/>
    <s v="Vikram"/>
    <x v="1"/>
    <x v="6"/>
    <x v="1"/>
    <x v="2"/>
    <s v="Sneha"/>
    <x v="3"/>
    <n v="58926"/>
    <x v="450"/>
    <n v="17677.8"/>
    <x v="8"/>
    <x v="450"/>
    <x v="3"/>
    <n v="47840"/>
    <s v="Home Office"/>
    <s v="Pending"/>
    <n v="2"/>
    <n v="3"/>
    <s v="GOOD SALES"/>
    <n v="2"/>
  </r>
  <r>
    <n v="2452"/>
    <s v="2024-04-15"/>
    <s v="Sara"/>
    <x v="2"/>
    <x v="7"/>
    <x v="0"/>
    <x v="6"/>
    <s v="Sneha"/>
    <x v="4"/>
    <n v="55961"/>
    <x v="451"/>
    <n v="11192.2"/>
    <x v="118"/>
    <x v="451"/>
    <x v="3"/>
    <n v="27719"/>
    <s v="Corporate"/>
    <s v="Pending"/>
    <n v="9"/>
    <n v="2"/>
    <s v="GOOD SALES"/>
    <n v="4"/>
  </r>
  <r>
    <n v="2453"/>
    <s v="2024-01-27"/>
    <s v="Arun"/>
    <x v="0"/>
    <x v="3"/>
    <x v="0"/>
    <x v="0"/>
    <s v="Amit"/>
    <x v="4"/>
    <n v="5186"/>
    <x v="452"/>
    <n v="1037.2"/>
    <x v="285"/>
    <x v="452"/>
    <x v="2"/>
    <n v="2618"/>
    <s v="Consumer"/>
    <s v="Pending"/>
    <n v="1"/>
    <n v="4"/>
    <s v="PROFIT"/>
    <n v="1"/>
  </r>
  <r>
    <n v="2454"/>
    <s v="2024-04-02"/>
    <s v="Anjali"/>
    <x v="0"/>
    <x v="0"/>
    <x v="0"/>
    <x v="9"/>
    <s v="Sneha"/>
    <x v="3"/>
    <n v="17923"/>
    <x v="453"/>
    <n v="5376.9"/>
    <x v="45"/>
    <x v="453"/>
    <x v="1"/>
    <n v="11912"/>
    <s v="Corporate"/>
    <s v="Pending"/>
    <n v="6"/>
    <n v="3"/>
    <s v="AVERAGE SALES"/>
    <n v="4"/>
  </r>
  <r>
    <n v="2455"/>
    <s v="2024-03-25"/>
    <s v="Anjali"/>
    <x v="0"/>
    <x v="5"/>
    <x v="1"/>
    <x v="4"/>
    <s v="Kiran"/>
    <x v="2"/>
    <n v="29734"/>
    <x v="454"/>
    <n v="11893.6"/>
    <x v="152"/>
    <x v="454"/>
    <x v="2"/>
    <n v="16686"/>
    <s v="Consumer"/>
    <s v="Pending"/>
    <n v="9"/>
    <n v="4"/>
    <s v="GOOD SALES"/>
    <n v="3"/>
  </r>
  <r>
    <n v="2456"/>
    <s v="2024-04-29"/>
    <s v="Ravi"/>
    <x v="2"/>
    <x v="6"/>
    <x v="0"/>
    <x v="6"/>
    <s v="Sneha"/>
    <x v="3"/>
    <n v="58631"/>
    <x v="455"/>
    <n v="17589.3"/>
    <x v="22"/>
    <x v="455"/>
    <x v="3"/>
    <n v="44862"/>
    <s v="Home Office"/>
    <s v="Cancelled"/>
    <n v="7"/>
    <n v="3"/>
    <s v="GOOD SALES"/>
    <n v="4"/>
  </r>
  <r>
    <n v="2457"/>
    <s v="2024-03-30"/>
    <s v="Arun"/>
    <x v="1"/>
    <x v="0"/>
    <x v="1"/>
    <x v="8"/>
    <s v="Kiran"/>
    <x v="0"/>
    <n v="51000"/>
    <x v="456"/>
    <n v="5100"/>
    <x v="146"/>
    <x v="456"/>
    <x v="2"/>
    <n v="6928"/>
    <s v="Consumer"/>
    <s v="Delivered"/>
    <n v="3"/>
    <n v="4"/>
    <s v="PROFIT"/>
    <n v="3"/>
  </r>
  <r>
    <n v="2458"/>
    <s v="2024-02-24"/>
    <s v="Ramesh"/>
    <x v="0"/>
    <x v="3"/>
    <x v="0"/>
    <x v="6"/>
    <s v="Sneha"/>
    <x v="2"/>
    <n v="21158"/>
    <x v="457"/>
    <n v="8463.2000000000007"/>
    <x v="128"/>
    <x v="457"/>
    <x v="0"/>
    <n v="15848"/>
    <s v="Home Office"/>
    <s v="Delivered"/>
    <n v="5"/>
    <n v="4"/>
    <s v="AVERAGE SALES"/>
    <n v="2"/>
  </r>
  <r>
    <n v="2459"/>
    <s v="2024-02-13"/>
    <s v="Priya"/>
    <x v="2"/>
    <x v="5"/>
    <x v="2"/>
    <x v="5"/>
    <s v="Sneha"/>
    <x v="3"/>
    <n v="17891"/>
    <x v="458"/>
    <n v="5367.3"/>
    <x v="201"/>
    <x v="458"/>
    <x v="1"/>
    <n v="11994"/>
    <s v="Corporate"/>
    <s v="Pending"/>
    <n v="3"/>
    <n v="1"/>
    <s v="AVERAGE SALES"/>
    <n v="2"/>
  </r>
  <r>
    <n v="2460"/>
    <s v="2024-02-15"/>
    <s v="Vikram"/>
    <x v="1"/>
    <x v="6"/>
    <x v="1"/>
    <x v="2"/>
    <s v="Kiran"/>
    <x v="4"/>
    <n v="6823"/>
    <x v="459"/>
    <n v="1364.6"/>
    <x v="17"/>
    <x v="459"/>
    <x v="1"/>
    <n v="1786"/>
    <s v="Home Office"/>
    <s v="Cancelled"/>
    <n v="4"/>
    <n v="1"/>
    <s v="PROFIT"/>
    <n v="2"/>
  </r>
  <r>
    <n v="2461"/>
    <s v="2024-01-03"/>
    <s v="Meena"/>
    <x v="1"/>
    <x v="6"/>
    <x v="1"/>
    <x v="2"/>
    <s v="Kiran"/>
    <x v="4"/>
    <n v="5557"/>
    <x v="460"/>
    <n v="1111.4000000000001"/>
    <x v="286"/>
    <x v="460"/>
    <x v="3"/>
    <n v="1243"/>
    <s v="Home Office"/>
    <s v="Cancelled"/>
    <n v="4"/>
    <n v="5"/>
    <s v="PROFIT"/>
    <n v="1"/>
  </r>
  <r>
    <n v="2462"/>
    <s v="2024-03-31"/>
    <s v="Ravi"/>
    <x v="2"/>
    <x v="1"/>
    <x v="0"/>
    <x v="6"/>
    <s v="Rahul"/>
    <x v="1"/>
    <n v="8621"/>
    <x v="461"/>
    <n v="4310.5"/>
    <x v="261"/>
    <x v="461"/>
    <x v="3"/>
    <n v="8441"/>
    <s v="Corporate"/>
    <s v="Delivered"/>
    <n v="1"/>
    <n v="3"/>
    <s v="PROFIT"/>
    <n v="3"/>
  </r>
  <r>
    <n v="2463"/>
    <s v="2024-01-10"/>
    <s v="Divya"/>
    <x v="3"/>
    <x v="3"/>
    <x v="0"/>
    <x v="9"/>
    <s v="Kiran"/>
    <x v="4"/>
    <n v="58306"/>
    <x v="462"/>
    <n v="11661.2"/>
    <x v="287"/>
    <x v="462"/>
    <x v="1"/>
    <n v="19220"/>
    <s v="Home Office"/>
    <s v="Pending"/>
    <n v="8"/>
    <n v="5"/>
    <s v="GOOD SALES"/>
    <n v="1"/>
  </r>
  <r>
    <n v="2464"/>
    <s v="2024-02-17"/>
    <s v="Arun"/>
    <x v="0"/>
    <x v="6"/>
    <x v="1"/>
    <x v="1"/>
    <s v="Kiran"/>
    <x v="0"/>
    <n v="49954"/>
    <x v="463"/>
    <n v="4995.3999999999996"/>
    <x v="287"/>
    <x v="463"/>
    <x v="3"/>
    <n v="12357"/>
    <s v="Consumer"/>
    <s v="Delivered"/>
    <n v="6"/>
    <n v="1"/>
    <s v="PROFIT"/>
    <n v="2"/>
  </r>
  <r>
    <n v="2465"/>
    <s v="2024-02-13"/>
    <s v="John"/>
    <x v="1"/>
    <x v="2"/>
    <x v="0"/>
    <x v="6"/>
    <s v="Sneha"/>
    <x v="1"/>
    <n v="50170"/>
    <x v="464"/>
    <n v="25085"/>
    <x v="288"/>
    <x v="464"/>
    <x v="3"/>
    <n v="49389"/>
    <s v="Consumer"/>
    <s v="Cancelled"/>
    <n v="5"/>
    <n v="2"/>
    <s v="PEAK SALES"/>
    <n v="2"/>
  </r>
  <r>
    <n v="2466"/>
    <s v="2024-03-03"/>
    <s v="Ramesh"/>
    <x v="2"/>
    <x v="1"/>
    <x v="1"/>
    <x v="4"/>
    <s v="Amit"/>
    <x v="0"/>
    <n v="57755"/>
    <x v="465"/>
    <n v="5775.5"/>
    <x v="289"/>
    <x v="465"/>
    <x v="3"/>
    <n v="18100"/>
    <s v="Home Office"/>
    <s v="Pending"/>
    <n v="2"/>
    <n v="5"/>
    <s v="AVERAGE SALES"/>
    <n v="3"/>
  </r>
  <r>
    <n v="2467"/>
    <s v="2024-04-04"/>
    <s v="Priya"/>
    <x v="1"/>
    <x v="7"/>
    <x v="2"/>
    <x v="7"/>
    <s v="Kiran"/>
    <x v="4"/>
    <n v="27116"/>
    <x v="466"/>
    <n v="5423.2"/>
    <x v="290"/>
    <x v="466"/>
    <x v="2"/>
    <n v="5518"/>
    <s v="Corporate"/>
    <s v="Cancelled"/>
    <n v="4"/>
    <n v="3"/>
    <s v="AVERAGE SALES"/>
    <n v="4"/>
  </r>
  <r>
    <n v="2468"/>
    <s v="2024-03-11"/>
    <s v="Ramesh"/>
    <x v="3"/>
    <x v="5"/>
    <x v="2"/>
    <x v="3"/>
    <s v="Amit"/>
    <x v="2"/>
    <n v="53219"/>
    <x v="467"/>
    <n v="21287.599999999999"/>
    <x v="291"/>
    <x v="467"/>
    <x v="3"/>
    <n v="25469"/>
    <s v="Corporate"/>
    <s v="Delivered"/>
    <n v="6"/>
    <n v="1"/>
    <s v="PEAK SALES"/>
    <n v="3"/>
  </r>
  <r>
    <n v="2469"/>
    <s v="2024-01-25"/>
    <s v="Meena"/>
    <x v="2"/>
    <x v="4"/>
    <x v="0"/>
    <x v="9"/>
    <s v="Sneha"/>
    <x v="1"/>
    <n v="40545"/>
    <x v="468"/>
    <n v="20272.5"/>
    <x v="49"/>
    <x v="468"/>
    <x v="1"/>
    <n v="60762"/>
    <s v="Corporate"/>
    <s v="Pending"/>
    <n v="6"/>
    <n v="3"/>
    <s v="PEAK SALES"/>
    <n v="1"/>
  </r>
  <r>
    <n v="2470"/>
    <s v="2024-04-09"/>
    <s v="Divya"/>
    <x v="2"/>
    <x v="6"/>
    <x v="1"/>
    <x v="4"/>
    <s v="Amit"/>
    <x v="2"/>
    <n v="27739"/>
    <x v="469"/>
    <n v="11095.6"/>
    <x v="292"/>
    <x v="469"/>
    <x v="1"/>
    <n v="20883"/>
    <s v="Home Office"/>
    <s v="Pending"/>
    <n v="10"/>
    <n v="4"/>
    <s v="GOOD SALES"/>
    <n v="4"/>
  </r>
  <r>
    <n v="2471"/>
    <s v="2024-02-07"/>
    <s v="Sara"/>
    <x v="2"/>
    <x v="3"/>
    <x v="0"/>
    <x v="6"/>
    <s v="Sneha"/>
    <x v="1"/>
    <n v="53861"/>
    <x v="470"/>
    <n v="26930.5"/>
    <x v="293"/>
    <x v="470"/>
    <x v="0"/>
    <n v="49557"/>
    <s v="Home Office"/>
    <s v="Delivered"/>
    <n v="2"/>
    <n v="1"/>
    <s v="PEAK SALES"/>
    <n v="2"/>
  </r>
  <r>
    <n v="2472"/>
    <s v="2024-02-04"/>
    <s v="Vikram"/>
    <x v="3"/>
    <x v="2"/>
    <x v="2"/>
    <x v="5"/>
    <s v="Rahul"/>
    <x v="0"/>
    <n v="5160"/>
    <x v="471"/>
    <n v="516"/>
    <x v="238"/>
    <x v="471"/>
    <x v="1"/>
    <n v="867"/>
    <s v="Corporate"/>
    <s v="Pending"/>
    <n v="5"/>
    <n v="1"/>
    <s v="PROFIT"/>
    <n v="2"/>
  </r>
  <r>
    <n v="2473"/>
    <s v="2024-04-21"/>
    <s v="Priya"/>
    <x v="0"/>
    <x v="2"/>
    <x v="0"/>
    <x v="9"/>
    <s v="Amit"/>
    <x v="1"/>
    <n v="45067"/>
    <x v="472"/>
    <n v="22533.5"/>
    <x v="147"/>
    <x v="472"/>
    <x v="2"/>
    <n v="46109"/>
    <s v="Corporate"/>
    <s v="Delivered"/>
    <n v="2"/>
    <n v="3"/>
    <s v="PEAK SALES"/>
    <n v="4"/>
  </r>
  <r>
    <n v="2474"/>
    <s v="2024-04-16"/>
    <s v="Ravi"/>
    <x v="0"/>
    <x v="2"/>
    <x v="1"/>
    <x v="2"/>
    <s v="Kiran"/>
    <x v="4"/>
    <n v="16518"/>
    <x v="473"/>
    <n v="3303.6"/>
    <x v="172"/>
    <x v="473"/>
    <x v="1"/>
    <n v="3623"/>
    <s v="Consumer"/>
    <s v="Delivered"/>
    <n v="9"/>
    <n v="1"/>
    <s v="PROFIT"/>
    <n v="4"/>
  </r>
  <r>
    <n v="2475"/>
    <s v="2024-03-26"/>
    <s v="Sara"/>
    <x v="3"/>
    <x v="1"/>
    <x v="1"/>
    <x v="2"/>
    <s v="Amit"/>
    <x v="0"/>
    <n v="53528"/>
    <x v="474"/>
    <n v="5352.8"/>
    <x v="285"/>
    <x v="474"/>
    <x v="0"/>
    <n v="16219"/>
    <s v="Corporate"/>
    <s v="Delivered"/>
    <n v="9"/>
    <n v="1"/>
    <s v="AVERAGE SALES"/>
    <n v="3"/>
  </r>
  <r>
    <n v="2476"/>
    <s v="2024-03-29"/>
    <s v="Ravi"/>
    <x v="0"/>
    <x v="0"/>
    <x v="1"/>
    <x v="2"/>
    <s v="Amit"/>
    <x v="2"/>
    <n v="57451"/>
    <x v="475"/>
    <n v="22980.400000000001"/>
    <x v="179"/>
    <x v="475"/>
    <x v="1"/>
    <n v="42627"/>
    <s v="Home Office"/>
    <s v="Cancelled"/>
    <n v="3"/>
    <n v="2"/>
    <s v="PEAK SALES"/>
    <n v="3"/>
  </r>
  <r>
    <n v="2477"/>
    <s v="2024-03-20"/>
    <s v="Priya"/>
    <x v="2"/>
    <x v="6"/>
    <x v="1"/>
    <x v="1"/>
    <s v="Amit"/>
    <x v="0"/>
    <n v="55986"/>
    <x v="476"/>
    <n v="5598.6"/>
    <x v="294"/>
    <x v="476"/>
    <x v="3"/>
    <n v="6434"/>
    <s v="Consumer"/>
    <s v="Cancelled"/>
    <n v="8"/>
    <n v="5"/>
    <s v="AVERAGE SALES"/>
    <n v="3"/>
  </r>
  <r>
    <n v="2478"/>
    <s v="2024-01-17"/>
    <s v="Ramesh"/>
    <x v="0"/>
    <x v="0"/>
    <x v="2"/>
    <x v="5"/>
    <s v="Sneha"/>
    <x v="4"/>
    <n v="55747"/>
    <x v="477"/>
    <n v="11149.4"/>
    <x v="295"/>
    <x v="477"/>
    <x v="0"/>
    <n v="28071"/>
    <s v="Corporate"/>
    <s v="Delivered"/>
    <n v="8"/>
    <n v="3"/>
    <s v="GOOD SALES"/>
    <n v="1"/>
  </r>
  <r>
    <n v="2479"/>
    <s v="2024-04-12"/>
    <s v="John"/>
    <x v="3"/>
    <x v="5"/>
    <x v="2"/>
    <x v="3"/>
    <s v="Amit"/>
    <x v="3"/>
    <n v="44445"/>
    <x v="478"/>
    <n v="13333.5"/>
    <x v="292"/>
    <x v="478"/>
    <x v="1"/>
    <n v="27989"/>
    <s v="Home Office"/>
    <s v="Cancelled"/>
    <n v="9"/>
    <n v="4"/>
    <s v="GOOD SALES"/>
    <n v="4"/>
  </r>
  <r>
    <n v="2480"/>
    <s v="2024-03-01"/>
    <s v="Sara"/>
    <x v="1"/>
    <x v="1"/>
    <x v="1"/>
    <x v="4"/>
    <s v="Kiran"/>
    <x v="4"/>
    <n v="18178"/>
    <x v="479"/>
    <n v="3635.6"/>
    <x v="235"/>
    <x v="479"/>
    <x v="0"/>
    <n v="7754"/>
    <s v="Home Office"/>
    <s v="Cancelled"/>
    <n v="9"/>
    <n v="1"/>
    <s v="PROFIT"/>
    <n v="3"/>
  </r>
  <r>
    <n v="2481"/>
    <s v="2024-01-23"/>
    <s v="Ravi"/>
    <x v="3"/>
    <x v="6"/>
    <x v="1"/>
    <x v="2"/>
    <s v="Rahul"/>
    <x v="1"/>
    <n v="786"/>
    <x v="480"/>
    <n v="393"/>
    <x v="296"/>
    <x v="480"/>
    <x v="2"/>
    <n v="627"/>
    <s v="Corporate"/>
    <s v="Delivered"/>
    <n v="5"/>
    <n v="1"/>
    <s v="PROFIT"/>
    <n v="1"/>
  </r>
  <r>
    <n v="2482"/>
    <s v="2024-01-06"/>
    <s v="Vikram"/>
    <x v="3"/>
    <x v="7"/>
    <x v="1"/>
    <x v="4"/>
    <s v="Sneha"/>
    <x v="0"/>
    <n v="2364"/>
    <x v="481"/>
    <n v="236.4"/>
    <x v="297"/>
    <x v="481"/>
    <x v="3"/>
    <n v="560"/>
    <s v="Corporate"/>
    <s v="Cancelled"/>
    <n v="7"/>
    <n v="4"/>
    <s v="PROFIT"/>
    <n v="1"/>
  </r>
  <r>
    <n v="2483"/>
    <s v="2024-02-21"/>
    <s v="Sara"/>
    <x v="1"/>
    <x v="2"/>
    <x v="1"/>
    <x v="1"/>
    <s v="Kiran"/>
    <x v="3"/>
    <n v="3410"/>
    <x v="482"/>
    <n v="1023"/>
    <x v="298"/>
    <x v="482"/>
    <x v="1"/>
    <n v="1718"/>
    <s v="Corporate"/>
    <s v="Pending"/>
    <n v="9"/>
    <n v="4"/>
    <s v="PROFIT"/>
    <n v="2"/>
  </r>
  <r>
    <n v="2484"/>
    <s v="2024-01-29"/>
    <s v="John"/>
    <x v="2"/>
    <x v="7"/>
    <x v="2"/>
    <x v="5"/>
    <s v="Amit"/>
    <x v="3"/>
    <n v="784"/>
    <x v="483"/>
    <n v="235.2"/>
    <x v="110"/>
    <x v="483"/>
    <x v="3"/>
    <n v="721"/>
    <s v="Consumer"/>
    <s v="Delivered"/>
    <n v="2"/>
    <n v="2"/>
    <s v="PROFIT"/>
    <n v="1"/>
  </r>
  <r>
    <n v="2485"/>
    <s v="2024-04-02"/>
    <s v="Anjali"/>
    <x v="1"/>
    <x v="1"/>
    <x v="2"/>
    <x v="7"/>
    <s v="Rahul"/>
    <x v="4"/>
    <n v="50946"/>
    <x v="484"/>
    <n v="10189.200000000001"/>
    <x v="298"/>
    <x v="484"/>
    <x v="2"/>
    <n v="25028"/>
    <s v="Consumer"/>
    <s v="Cancelled"/>
    <n v="3"/>
    <n v="3"/>
    <s v="GOOD SALES"/>
    <n v="4"/>
  </r>
  <r>
    <n v="2486"/>
    <s v="2024-03-30"/>
    <s v="Vikram"/>
    <x v="2"/>
    <x v="3"/>
    <x v="2"/>
    <x v="5"/>
    <s v="Rahul"/>
    <x v="2"/>
    <n v="27642"/>
    <x v="485"/>
    <n v="11056.8"/>
    <x v="299"/>
    <x v="485"/>
    <x v="3"/>
    <n v="12920"/>
    <s v="Consumer"/>
    <s v="Delivered"/>
    <n v="5"/>
    <n v="1"/>
    <s v="GOOD SALES"/>
    <n v="3"/>
  </r>
  <r>
    <n v="2487"/>
    <s v="2024-01-15"/>
    <s v="Anjali"/>
    <x v="0"/>
    <x v="4"/>
    <x v="2"/>
    <x v="3"/>
    <s v="Rahul"/>
    <x v="0"/>
    <n v="32279"/>
    <x v="486"/>
    <n v="3227.9"/>
    <x v="282"/>
    <x v="486"/>
    <x v="3"/>
    <n v="5584"/>
    <s v="Corporate"/>
    <s v="Delivered"/>
    <n v="10"/>
    <n v="1"/>
    <s v="PROFIT"/>
    <n v="1"/>
  </r>
  <r>
    <n v="2488"/>
    <s v="2024-04-30"/>
    <s v="Arun"/>
    <x v="3"/>
    <x v="7"/>
    <x v="1"/>
    <x v="2"/>
    <s v="Rahul"/>
    <x v="2"/>
    <n v="34696"/>
    <x v="487"/>
    <n v="13878.4"/>
    <x v="300"/>
    <x v="487"/>
    <x v="3"/>
    <n v="18696"/>
    <s v="Corporate"/>
    <s v="Pending"/>
    <n v="4"/>
    <n v="3"/>
    <s v="GOOD SALES"/>
    <n v="4"/>
  </r>
  <r>
    <n v="2489"/>
    <s v="2024-01-04"/>
    <s v="Meena"/>
    <x v="3"/>
    <x v="5"/>
    <x v="1"/>
    <x v="1"/>
    <s v="Sneha"/>
    <x v="1"/>
    <n v="3531"/>
    <x v="488"/>
    <n v="1765.5"/>
    <x v="301"/>
    <x v="488"/>
    <x v="2"/>
    <n v="4606"/>
    <s v="Corporate"/>
    <s v="Pending"/>
    <n v="7"/>
    <n v="3"/>
    <s v="PROFIT"/>
    <n v="1"/>
  </r>
  <r>
    <n v="2490"/>
    <s v="2024-03-08"/>
    <s v="Sara"/>
    <x v="1"/>
    <x v="3"/>
    <x v="2"/>
    <x v="7"/>
    <s v="Rahul"/>
    <x v="4"/>
    <n v="56990"/>
    <x v="489"/>
    <n v="11398"/>
    <x v="48"/>
    <x v="489"/>
    <x v="0"/>
    <n v="19632"/>
    <s v="Corporate"/>
    <s v="Cancelled"/>
    <n v="8"/>
    <n v="4"/>
    <s v="GOOD SALES"/>
    <n v="3"/>
  </r>
  <r>
    <n v="2491"/>
    <s v="2024-04-17"/>
    <s v="Arun"/>
    <x v="3"/>
    <x v="7"/>
    <x v="1"/>
    <x v="2"/>
    <s v="Amit"/>
    <x v="4"/>
    <n v="13947"/>
    <x v="490"/>
    <n v="2789.4"/>
    <x v="236"/>
    <x v="490"/>
    <x v="1"/>
    <n v="8122"/>
    <s v="Corporate"/>
    <s v="Delivered"/>
    <n v="4"/>
    <n v="5"/>
    <s v="PROFIT"/>
    <n v="4"/>
  </r>
  <r>
    <n v="2492"/>
    <s v="2024-03-30"/>
    <s v="Vikram"/>
    <x v="0"/>
    <x v="5"/>
    <x v="0"/>
    <x v="0"/>
    <s v="Sneha"/>
    <x v="4"/>
    <n v="7041"/>
    <x v="491"/>
    <n v="1408.2"/>
    <x v="84"/>
    <x v="491"/>
    <x v="1"/>
    <n v="4182"/>
    <s v="Consumer"/>
    <s v="Cancelled"/>
    <n v="2"/>
    <n v="5"/>
    <s v="PROFIT"/>
    <n v="3"/>
  </r>
  <r>
    <n v="2493"/>
    <s v="2024-03-02"/>
    <s v="Ravi"/>
    <x v="1"/>
    <x v="5"/>
    <x v="0"/>
    <x v="9"/>
    <s v="Amit"/>
    <x v="1"/>
    <n v="35320"/>
    <x v="492"/>
    <n v="17660"/>
    <x v="113"/>
    <x v="492"/>
    <x v="2"/>
    <n v="26839"/>
    <s v="Home Office"/>
    <s v="Cancelled"/>
    <n v="9"/>
    <n v="3"/>
    <s v="GOOD SALES"/>
    <n v="3"/>
  </r>
  <r>
    <n v="2494"/>
    <s v="2024-01-15"/>
    <s v="John"/>
    <x v="0"/>
    <x v="0"/>
    <x v="2"/>
    <x v="3"/>
    <s v="Rahul"/>
    <x v="3"/>
    <n v="20119"/>
    <x v="493"/>
    <n v="6035.7"/>
    <x v="97"/>
    <x v="493"/>
    <x v="0"/>
    <n v="16049"/>
    <s v="Corporate"/>
    <s v="Pending"/>
    <n v="4"/>
    <n v="5"/>
    <s v="AVERAGE SALES"/>
    <n v="1"/>
  </r>
  <r>
    <n v="2495"/>
    <s v="2024-02-10"/>
    <s v="Ravi"/>
    <x v="0"/>
    <x v="7"/>
    <x v="2"/>
    <x v="3"/>
    <s v="Sneha"/>
    <x v="0"/>
    <n v="12929"/>
    <x v="494"/>
    <n v="1292.9000000000001"/>
    <x v="206"/>
    <x v="494"/>
    <x v="1"/>
    <n v="3189"/>
    <s v="Corporate"/>
    <s v="Cancelled"/>
    <n v="10"/>
    <n v="4"/>
    <s v="PROFIT"/>
    <n v="2"/>
  </r>
  <r>
    <n v="2496"/>
    <s v="2024-01-13"/>
    <s v="Arun"/>
    <x v="3"/>
    <x v="1"/>
    <x v="2"/>
    <x v="3"/>
    <s v="Rahul"/>
    <x v="3"/>
    <n v="14656"/>
    <x v="495"/>
    <n v="4396.8"/>
    <x v="156"/>
    <x v="495"/>
    <x v="1"/>
    <n v="4758"/>
    <s v="Consumer"/>
    <s v="Pending"/>
    <n v="3"/>
    <n v="2"/>
    <s v="PROFIT"/>
    <n v="1"/>
  </r>
  <r>
    <n v="2497"/>
    <s v="2024-03-22"/>
    <s v="Meena"/>
    <x v="2"/>
    <x v="1"/>
    <x v="1"/>
    <x v="4"/>
    <s v="Kiran"/>
    <x v="3"/>
    <n v="52390"/>
    <x v="496"/>
    <n v="15717"/>
    <x v="302"/>
    <x v="496"/>
    <x v="3"/>
    <n v="30781"/>
    <s v="Corporate"/>
    <s v="Delivered"/>
    <n v="8"/>
    <n v="2"/>
    <s v="GOOD SALES"/>
    <n v="3"/>
  </r>
  <r>
    <n v="2498"/>
    <s v="2024-02-11"/>
    <s v="Priya"/>
    <x v="2"/>
    <x v="0"/>
    <x v="0"/>
    <x v="6"/>
    <s v="Rahul"/>
    <x v="1"/>
    <n v="25118"/>
    <x v="497"/>
    <n v="12559"/>
    <x v="182"/>
    <x v="497"/>
    <x v="3"/>
    <n v="15055"/>
    <s v="Home Office"/>
    <s v="Delivered"/>
    <n v="6"/>
    <n v="2"/>
    <s v="GOOD SALES"/>
    <n v="2"/>
  </r>
  <r>
    <n v="2499"/>
    <s v="2024-03-19"/>
    <s v="Priya"/>
    <x v="0"/>
    <x v="0"/>
    <x v="1"/>
    <x v="2"/>
    <s v="Sneha"/>
    <x v="0"/>
    <n v="40060"/>
    <x v="498"/>
    <n v="4006"/>
    <x v="237"/>
    <x v="498"/>
    <x v="3"/>
    <n v="9164"/>
    <s v="Consumer"/>
    <s v="Delivered"/>
    <n v="5"/>
    <n v="4"/>
    <s v="PROFIT"/>
    <n v="3"/>
  </r>
  <r>
    <n v="2500"/>
    <s v="2024-01-25"/>
    <s v="John"/>
    <x v="2"/>
    <x v="3"/>
    <x v="0"/>
    <x v="6"/>
    <s v="Rahul"/>
    <x v="3"/>
    <n v="23117"/>
    <x v="499"/>
    <n v="6935.1"/>
    <x v="303"/>
    <x v="499"/>
    <x v="2"/>
    <n v="18949"/>
    <s v="Home Office"/>
    <s v="Pending"/>
    <n v="8"/>
    <n v="1"/>
    <s v="AVERAGE SALE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2FAE8-FB79-4311-9658-76D0E7B28C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2" firstHeaderRow="1" firstDataRow="1" firstDataCol="1"/>
  <pivotFields count="22">
    <pivotField showAll="0"/>
    <pivotField showAll="0"/>
    <pivotField showAll="0"/>
    <pivotField axis="axisRow" showAll="0">
      <items count="5">
        <item x="3"/>
        <item x="0"/>
        <item x="1"/>
        <item x="2"/>
        <item t="default"/>
      </items>
    </pivotField>
    <pivotField showAll="0">
      <items count="9">
        <item x="2"/>
        <item x="0"/>
        <item x="5"/>
        <item x="7"/>
        <item x="6"/>
        <item x="3"/>
        <item x="1"/>
        <item x="4"/>
        <item t="default"/>
      </items>
    </pivotField>
    <pivotField showAll="0">
      <items count="4">
        <item x="2"/>
        <item x="1"/>
        <item x="0"/>
        <item t="default"/>
      </items>
    </pivotField>
    <pivotField showAll="0"/>
    <pivotField showAll="0"/>
    <pivotField showAll="0">
      <items count="6">
        <item x="0"/>
        <item x="4"/>
        <item x="3"/>
        <item x="2"/>
        <item x="1"/>
        <item t="default"/>
      </items>
    </pivotField>
    <pivotField showAll="0"/>
    <pivotField showAll="0">
      <items count="501">
        <item x="349"/>
        <item x="208"/>
        <item x="11"/>
        <item x="481"/>
        <item x="222"/>
        <item x="88"/>
        <item x="483"/>
        <item x="47"/>
        <item x="136"/>
        <item x="299"/>
        <item x="377"/>
        <item x="326"/>
        <item x="129"/>
        <item x="128"/>
        <item x="241"/>
        <item x="480"/>
        <item x="67"/>
        <item x="119"/>
        <item x="126"/>
        <item x="362"/>
        <item x="409"/>
        <item x="112"/>
        <item x="296"/>
        <item x="471"/>
        <item x="277"/>
        <item x="406"/>
        <item x="482"/>
        <item x="202"/>
        <item x="53"/>
        <item x="411"/>
        <item x="491"/>
        <item x="34"/>
        <item x="233"/>
        <item x="154"/>
        <item x="459"/>
        <item x="494"/>
        <item x="117"/>
        <item x="195"/>
        <item x="192"/>
        <item x="389"/>
        <item x="65"/>
        <item x="366"/>
        <item x="337"/>
        <item x="309"/>
        <item x="243"/>
        <item x="370"/>
        <item x="209"/>
        <item x="430"/>
        <item x="125"/>
        <item x="70"/>
        <item x="305"/>
        <item x="360"/>
        <item x="347"/>
        <item x="235"/>
        <item x="341"/>
        <item x="334"/>
        <item x="286"/>
        <item x="329"/>
        <item x="48"/>
        <item x="107"/>
        <item x="205"/>
        <item x="339"/>
        <item x="280"/>
        <item x="99"/>
        <item x="460"/>
        <item x="336"/>
        <item x="452"/>
        <item x="438"/>
        <item x="218"/>
        <item x="82"/>
        <item x="121"/>
        <item x="66"/>
        <item x="379"/>
        <item x="193"/>
        <item x="134"/>
        <item x="46"/>
        <item x="75"/>
        <item x="325"/>
        <item x="424"/>
        <item x="152"/>
        <item x="263"/>
        <item x="374"/>
        <item x="2"/>
        <item x="54"/>
        <item x="392"/>
        <item x="95"/>
        <item x="231"/>
        <item x="372"/>
        <item x="122"/>
        <item x="290"/>
        <item x="230"/>
        <item x="150"/>
        <item x="359"/>
        <item x="352"/>
        <item x="228"/>
        <item x="91"/>
        <item x="159"/>
        <item x="330"/>
        <item x="435"/>
        <item x="60"/>
        <item x="445"/>
        <item x="490"/>
        <item x="40"/>
        <item x="257"/>
        <item x="376"/>
        <item x="396"/>
        <item x="186"/>
        <item x="250"/>
        <item x="173"/>
        <item x="15"/>
        <item x="252"/>
        <item x="12"/>
        <item x="272"/>
        <item x="6"/>
        <item x="39"/>
        <item x="298"/>
        <item x="423"/>
        <item x="319"/>
        <item x="465"/>
        <item x="268"/>
        <item x="270"/>
        <item x="92"/>
        <item x="488"/>
        <item x="237"/>
        <item x="87"/>
        <item x="77"/>
        <item x="361"/>
        <item x="419"/>
        <item x="79"/>
        <item x="30"/>
        <item x="378"/>
        <item x="476"/>
        <item x="322"/>
        <item x="368"/>
        <item x="383"/>
        <item x="9"/>
        <item x="98"/>
        <item x="175"/>
        <item x="428"/>
        <item x="110"/>
        <item x="401"/>
        <item x="158"/>
        <item x="498"/>
        <item x="220"/>
        <item x="200"/>
        <item x="101"/>
        <item x="291"/>
        <item x="210"/>
        <item x="42"/>
        <item x="217"/>
        <item x="327"/>
        <item x="418"/>
        <item x="105"/>
        <item x="314"/>
        <item x="432"/>
        <item x="443"/>
        <item x="486"/>
        <item x="402"/>
        <item x="56"/>
        <item x="479"/>
        <item x="297"/>
        <item x="354"/>
        <item x="178"/>
        <item x="194"/>
        <item x="140"/>
        <item x="187"/>
        <item x="474"/>
        <item x="114"/>
        <item x="234"/>
        <item x="69"/>
        <item x="149"/>
        <item x="398"/>
        <item x="147"/>
        <item x="369"/>
        <item x="163"/>
        <item x="259"/>
        <item x="135"/>
        <item x="381"/>
        <item x="473"/>
        <item x="344"/>
        <item x="13"/>
        <item x="484"/>
        <item x="316"/>
        <item x="213"/>
        <item x="19"/>
        <item x="0"/>
        <item x="461"/>
        <item x="335"/>
        <item x="165"/>
        <item x="441"/>
        <item x="355"/>
        <item x="167"/>
        <item x="45"/>
        <item x="387"/>
        <item x="351"/>
        <item x="130"/>
        <item x="397"/>
        <item x="174"/>
        <item x="495"/>
        <item x="453"/>
        <item x="404"/>
        <item x="320"/>
        <item x="458"/>
        <item x="304"/>
        <item x="238"/>
        <item x="93"/>
        <item x="226"/>
        <item x="131"/>
        <item x="1"/>
        <item x="350"/>
        <item x="8"/>
        <item x="203"/>
        <item x="160"/>
        <item x="446"/>
        <item x="447"/>
        <item x="198"/>
        <item x="485"/>
        <item x="292"/>
        <item x="448"/>
        <item x="315"/>
        <item x="85"/>
        <item x="466"/>
        <item x="29"/>
        <item x="179"/>
        <item x="197"/>
        <item x="499"/>
        <item x="273"/>
        <item x="142"/>
        <item x="78"/>
        <item x="405"/>
        <item x="247"/>
        <item x="463"/>
        <item x="55"/>
        <item x="71"/>
        <item x="189"/>
        <item x="271"/>
        <item x="81"/>
        <item x="64"/>
        <item x="294"/>
        <item x="32"/>
        <item x="137"/>
        <item x="422"/>
        <item x="363"/>
        <item x="212"/>
        <item x="201"/>
        <item x="86"/>
        <item x="151"/>
        <item x="440"/>
        <item x="332"/>
        <item x="181"/>
        <item x="260"/>
        <item x="161"/>
        <item x="143"/>
        <item x="190"/>
        <item x="111"/>
        <item x="416"/>
        <item x="156"/>
        <item x="307"/>
        <item x="139"/>
        <item x="109"/>
        <item x="300"/>
        <item x="7"/>
        <item x="426"/>
        <item x="215"/>
        <item x="421"/>
        <item x="236"/>
        <item x="343"/>
        <item x="191"/>
        <item x="266"/>
        <item x="431"/>
        <item x="353"/>
        <item x="493"/>
        <item x="170"/>
        <item x="21"/>
        <item x="244"/>
        <item x="281"/>
        <item x="185"/>
        <item x="456"/>
        <item x="436"/>
        <item x="206"/>
        <item x="155"/>
        <item x="207"/>
        <item x="412"/>
        <item x="345"/>
        <item x="199"/>
        <item x="451"/>
        <item x="84"/>
        <item x="35"/>
        <item x="63"/>
        <item x="278"/>
        <item x="274"/>
        <item x="258"/>
        <item x="454"/>
        <item x="410"/>
        <item x="96"/>
        <item x="214"/>
        <item x="449"/>
        <item x="317"/>
        <item x="284"/>
        <item x="340"/>
        <item x="59"/>
        <item x="157"/>
        <item x="301"/>
        <item x="219"/>
        <item x="145"/>
        <item x="386"/>
        <item x="16"/>
        <item x="240"/>
        <item x="14"/>
        <item x="183"/>
        <item x="246"/>
        <item x="342"/>
        <item x="51"/>
        <item x="338"/>
        <item x="261"/>
        <item x="287"/>
        <item x="380"/>
        <item x="49"/>
        <item x="282"/>
        <item x="38"/>
        <item x="265"/>
        <item x="108"/>
        <item x="385"/>
        <item x="169"/>
        <item x="33"/>
        <item x="311"/>
        <item x="177"/>
        <item x="127"/>
        <item x="22"/>
        <item x="36"/>
        <item x="414"/>
        <item x="10"/>
        <item x="166"/>
        <item x="188"/>
        <item x="50"/>
        <item x="27"/>
        <item x="18"/>
        <item x="384"/>
        <item x="120"/>
        <item x="141"/>
        <item x="457"/>
        <item x="254"/>
        <item x="492"/>
        <item x="100"/>
        <item x="264"/>
        <item x="144"/>
        <item x="103"/>
        <item x="477"/>
        <item x="232"/>
        <item x="37"/>
        <item x="489"/>
        <item x="285"/>
        <item x="295"/>
        <item x="324"/>
        <item x="269"/>
        <item x="124"/>
        <item x="388"/>
        <item x="239"/>
        <item x="390"/>
        <item x="497"/>
        <item x="288"/>
        <item x="283"/>
        <item x="184"/>
        <item x="41"/>
        <item x="276"/>
        <item x="437"/>
        <item x="74"/>
        <item x="413"/>
        <item x="394"/>
        <item x="415"/>
        <item x="251"/>
        <item x="403"/>
        <item x="331"/>
        <item x="116"/>
        <item x="303"/>
        <item x="72"/>
        <item x="407"/>
        <item x="229"/>
        <item x="302"/>
        <item x="133"/>
        <item x="43"/>
        <item x="104"/>
        <item x="31"/>
        <item x="289"/>
        <item x="356"/>
        <item x="221"/>
        <item x="393"/>
        <item x="146"/>
        <item x="52"/>
        <item x="83"/>
        <item x="455"/>
        <item x="223"/>
        <item x="462"/>
        <item x="429"/>
        <item x="472"/>
        <item x="204"/>
        <item x="242"/>
        <item x="90"/>
        <item x="73"/>
        <item x="24"/>
        <item x="375"/>
        <item x="468"/>
        <item x="216"/>
        <item x="310"/>
        <item x="312"/>
        <item x="444"/>
        <item x="478"/>
        <item x="313"/>
        <item x="20"/>
        <item x="255"/>
        <item x="306"/>
        <item x="123"/>
        <item x="25"/>
        <item x="248"/>
        <item x="97"/>
        <item x="94"/>
        <item x="469"/>
        <item x="420"/>
        <item x="106"/>
        <item x="245"/>
        <item x="162"/>
        <item x="346"/>
        <item x="348"/>
        <item x="4"/>
        <item x="115"/>
        <item x="321"/>
        <item x="153"/>
        <item x="171"/>
        <item x="371"/>
        <item x="102"/>
        <item x="68"/>
        <item x="367"/>
        <item x="399"/>
        <item x="439"/>
        <item x="318"/>
        <item x="182"/>
        <item x="496"/>
        <item x="113"/>
        <item x="227"/>
        <item x="427"/>
        <item x="487"/>
        <item x="164"/>
        <item x="382"/>
        <item x="176"/>
        <item x="23"/>
        <item x="118"/>
        <item x="80"/>
        <item x="308"/>
        <item x="28"/>
        <item x="224"/>
        <item x="61"/>
        <item x="400"/>
        <item x="267"/>
        <item x="433"/>
        <item x="62"/>
        <item x="470"/>
        <item x="357"/>
        <item x="225"/>
        <item x="3"/>
        <item x="373"/>
        <item x="364"/>
        <item x="132"/>
        <item x="333"/>
        <item x="395"/>
        <item x="44"/>
        <item x="196"/>
        <item x="249"/>
        <item x="467"/>
        <item x="138"/>
        <item x="262"/>
        <item x="328"/>
        <item x="442"/>
        <item x="450"/>
        <item x="211"/>
        <item x="293"/>
        <item x="76"/>
        <item x="464"/>
        <item x="17"/>
        <item x="5"/>
        <item x="275"/>
        <item x="279"/>
        <item x="26"/>
        <item x="89"/>
        <item x="391"/>
        <item x="434"/>
        <item x="148"/>
        <item x="180"/>
        <item x="172"/>
        <item x="358"/>
        <item x="365"/>
        <item x="475"/>
        <item x="323"/>
        <item x="256"/>
        <item x="168"/>
        <item x="417"/>
        <item x="58"/>
        <item x="408"/>
        <item x="253"/>
        <item x="425"/>
        <item x="57"/>
        <item t="default"/>
      </items>
    </pivotField>
    <pivotField showAll="0"/>
    <pivotField showAll="0">
      <items count="305">
        <item x="250"/>
        <item x="303"/>
        <item x="277"/>
        <item x="228"/>
        <item x="258"/>
        <item x="131"/>
        <item x="121"/>
        <item x="95"/>
        <item x="23"/>
        <item x="164"/>
        <item x="71"/>
        <item x="251"/>
        <item x="96"/>
        <item x="199"/>
        <item x="17"/>
        <item x="24"/>
        <item x="284"/>
        <item x="73"/>
        <item x="294"/>
        <item x="55"/>
        <item x="97"/>
        <item x="113"/>
        <item x="125"/>
        <item x="54"/>
        <item x="247"/>
        <item x="16"/>
        <item x="38"/>
        <item x="290"/>
        <item x="84"/>
        <item x="53"/>
        <item x="115"/>
        <item x="176"/>
        <item x="235"/>
        <item x="195"/>
        <item x="27"/>
        <item x="9"/>
        <item x="175"/>
        <item x="296"/>
        <item x="189"/>
        <item x="19"/>
        <item x="200"/>
        <item x="107"/>
        <item x="186"/>
        <item x="88"/>
        <item x="102"/>
        <item x="128"/>
        <item x="133"/>
        <item x="78"/>
        <item x="59"/>
        <item x="142"/>
        <item x="152"/>
        <item x="291"/>
        <item x="240"/>
        <item x="138"/>
        <item x="32"/>
        <item x="205"/>
        <item x="165"/>
        <item x="204"/>
        <item x="49"/>
        <item x="281"/>
        <item x="292"/>
        <item x="137"/>
        <item x="67"/>
        <item x="232"/>
        <item x="141"/>
        <item x="209"/>
        <item x="127"/>
        <item x="212"/>
        <item x="1"/>
        <item x="114"/>
        <item x="216"/>
        <item x="220"/>
        <item x="214"/>
        <item x="274"/>
        <item x="86"/>
        <item x="239"/>
        <item x="3"/>
        <item x="253"/>
        <item x="279"/>
        <item x="178"/>
        <item x="83"/>
        <item x="270"/>
        <item x="14"/>
        <item x="45"/>
        <item x="245"/>
        <item x="112"/>
        <item x="104"/>
        <item x="299"/>
        <item x="134"/>
        <item x="241"/>
        <item x="126"/>
        <item x="136"/>
        <item x="194"/>
        <item x="21"/>
        <item x="5"/>
        <item x="160"/>
        <item x="174"/>
        <item x="188"/>
        <item x="144"/>
        <item x="261"/>
        <item x="163"/>
        <item x="85"/>
        <item x="229"/>
        <item x="10"/>
        <item x="169"/>
        <item x="41"/>
        <item x="198"/>
        <item x="120"/>
        <item x="158"/>
        <item x="89"/>
        <item x="8"/>
        <item x="167"/>
        <item x="103"/>
        <item x="124"/>
        <item x="139"/>
        <item x="76"/>
        <item x="173"/>
        <item x="183"/>
        <item x="295"/>
        <item x="129"/>
        <item x="105"/>
        <item x="62"/>
        <item x="148"/>
        <item x="61"/>
        <item x="51"/>
        <item x="122"/>
        <item x="246"/>
        <item x="44"/>
        <item x="293"/>
        <item x="101"/>
        <item x="236"/>
        <item x="77"/>
        <item x="26"/>
        <item x="302"/>
        <item x="58"/>
        <item x="153"/>
        <item x="7"/>
        <item x="248"/>
        <item x="231"/>
        <item x="40"/>
        <item x="29"/>
        <item x="135"/>
        <item x="123"/>
        <item x="215"/>
        <item x="298"/>
        <item x="157"/>
        <item x="94"/>
        <item x="149"/>
        <item x="20"/>
        <item x="43"/>
        <item x="56"/>
        <item x="42"/>
        <item x="132"/>
        <item x="92"/>
        <item x="273"/>
        <item x="192"/>
        <item x="22"/>
        <item x="257"/>
        <item x="276"/>
        <item x="64"/>
        <item x="301"/>
        <item x="70"/>
        <item x="30"/>
        <item x="25"/>
        <item x="285"/>
        <item x="18"/>
        <item x="12"/>
        <item x="271"/>
        <item x="63"/>
        <item x="287"/>
        <item x="145"/>
        <item x="81"/>
        <item x="180"/>
        <item x="184"/>
        <item x="109"/>
        <item x="263"/>
        <item x="230"/>
        <item x="80"/>
        <item x="2"/>
        <item x="242"/>
        <item x="156"/>
        <item x="234"/>
        <item x="143"/>
        <item x="172"/>
        <item x="46"/>
        <item x="221"/>
        <item x="4"/>
        <item x="203"/>
        <item x="150"/>
        <item x="6"/>
        <item x="225"/>
        <item x="202"/>
        <item x="213"/>
        <item x="182"/>
        <item x="262"/>
        <item x="75"/>
        <item x="243"/>
        <item x="226"/>
        <item x="177"/>
        <item x="108"/>
        <item x="275"/>
        <item x="206"/>
        <item x="249"/>
        <item x="288"/>
        <item x="82"/>
        <item x="68"/>
        <item x="116"/>
        <item x="74"/>
        <item x="266"/>
        <item x="159"/>
        <item x="52"/>
        <item x="190"/>
        <item x="171"/>
        <item x="34"/>
        <item x="48"/>
        <item x="98"/>
        <item x="201"/>
        <item x="282"/>
        <item x="154"/>
        <item x="218"/>
        <item x="170"/>
        <item x="87"/>
        <item x="185"/>
        <item x="265"/>
        <item x="280"/>
        <item x="47"/>
        <item x="161"/>
        <item x="91"/>
        <item x="65"/>
        <item x="117"/>
        <item x="35"/>
        <item x="119"/>
        <item x="191"/>
        <item x="255"/>
        <item x="33"/>
        <item x="256"/>
        <item x="166"/>
        <item x="179"/>
        <item x="118"/>
        <item x="222"/>
        <item x="208"/>
        <item x="60"/>
        <item x="111"/>
        <item x="106"/>
        <item x="140"/>
        <item x="99"/>
        <item x="66"/>
        <item x="264"/>
        <item x="260"/>
        <item x="72"/>
        <item x="297"/>
        <item x="37"/>
        <item x="130"/>
        <item x="269"/>
        <item x="79"/>
        <item x="224"/>
        <item x="196"/>
        <item x="254"/>
        <item x="207"/>
        <item x="162"/>
        <item x="11"/>
        <item x="283"/>
        <item x="193"/>
        <item x="31"/>
        <item x="168"/>
        <item x="289"/>
        <item x="39"/>
        <item x="93"/>
        <item x="223"/>
        <item x="227"/>
        <item x="13"/>
        <item x="146"/>
        <item x="147"/>
        <item x="252"/>
        <item x="259"/>
        <item x="28"/>
        <item x="267"/>
        <item x="210"/>
        <item x="15"/>
        <item x="155"/>
        <item x="219"/>
        <item x="100"/>
        <item x="278"/>
        <item x="36"/>
        <item x="244"/>
        <item x="238"/>
        <item x="90"/>
        <item x="286"/>
        <item x="187"/>
        <item x="268"/>
        <item x="272"/>
        <item x="151"/>
        <item x="217"/>
        <item x="0"/>
        <item x="181"/>
        <item x="50"/>
        <item x="211"/>
        <item x="57"/>
        <item x="233"/>
        <item x="300"/>
        <item x="197"/>
        <item x="237"/>
        <item x="110"/>
        <item x="69"/>
        <item t="default"/>
      </items>
    </pivotField>
    <pivotField dataField="1" showAll="0">
      <items count="501">
        <item h="1" x="47"/>
        <item x="349"/>
        <item x="88"/>
        <item x="208"/>
        <item x="481"/>
        <item x="483"/>
        <item x="11"/>
        <item x="67"/>
        <item x="299"/>
        <item x="480"/>
        <item x="241"/>
        <item x="112"/>
        <item x="136"/>
        <item x="119"/>
        <item x="471"/>
        <item x="202"/>
        <item x="411"/>
        <item x="222"/>
        <item x="406"/>
        <item x="347"/>
        <item x="209"/>
        <item x="126"/>
        <item x="326"/>
        <item x="192"/>
        <item x="362"/>
        <item x="377"/>
        <item x="107"/>
        <item x="430"/>
        <item x="243"/>
        <item x="125"/>
        <item x="128"/>
        <item x="334"/>
        <item x="129"/>
        <item x="218"/>
        <item x="66"/>
        <item x="452"/>
        <item x="34"/>
        <item x="195"/>
        <item x="305"/>
        <item x="336"/>
        <item x="424"/>
        <item x="389"/>
        <item x="482"/>
        <item x="460"/>
        <item x="341"/>
        <item x="296"/>
        <item x="65"/>
        <item x="2"/>
        <item x="70"/>
        <item x="53"/>
        <item x="329"/>
        <item x="330"/>
        <item x="231"/>
        <item x="235"/>
        <item x="277"/>
        <item x="409"/>
        <item x="494"/>
        <item x="95"/>
        <item x="459"/>
        <item x="491"/>
        <item x="39"/>
        <item x="48"/>
        <item x="325"/>
        <item x="159"/>
        <item x="361"/>
        <item x="352"/>
        <item x="82"/>
        <item x="488"/>
        <item x="383"/>
        <item x="370"/>
        <item x="379"/>
        <item x="205"/>
        <item x="79"/>
        <item x="280"/>
        <item x="339"/>
        <item x="152"/>
        <item x="233"/>
        <item x="46"/>
        <item x="360"/>
        <item x="428"/>
        <item x="54"/>
        <item x="154"/>
        <item x="158"/>
        <item x="423"/>
        <item x="435"/>
        <item x="392"/>
        <item x="117"/>
        <item x="309"/>
        <item x="98"/>
        <item x="91"/>
        <item x="396"/>
        <item x="122"/>
        <item x="60"/>
        <item x="290"/>
        <item x="366"/>
        <item x="445"/>
        <item x="337"/>
        <item x="92"/>
        <item x="105"/>
        <item x="237"/>
        <item x="270"/>
        <item x="150"/>
        <item x="418"/>
        <item x="438"/>
        <item x="75"/>
        <item x="359"/>
        <item x="121"/>
        <item x="402"/>
        <item x="99"/>
        <item x="344"/>
        <item x="257"/>
        <item x="374"/>
        <item x="443"/>
        <item x="230"/>
        <item x="15"/>
        <item x="372"/>
        <item x="419"/>
        <item x="193"/>
        <item x="327"/>
        <item x="490"/>
        <item x="135"/>
        <item x="297"/>
        <item x="42"/>
        <item x="198"/>
        <item x="286"/>
        <item x="13"/>
        <item x="397"/>
        <item x="45"/>
        <item x="263"/>
        <item x="131"/>
        <item x="314"/>
        <item x="268"/>
        <item x="9"/>
        <item x="473"/>
        <item x="486"/>
        <item x="29"/>
        <item x="134"/>
        <item x="378"/>
        <item x="238"/>
        <item x="114"/>
        <item x="149"/>
        <item x="234"/>
        <item x="194"/>
        <item x="163"/>
        <item x="320"/>
        <item x="479"/>
        <item x="213"/>
        <item x="212"/>
        <item x="200"/>
        <item x="217"/>
        <item x="173"/>
        <item x="220"/>
        <item x="368"/>
        <item x="181"/>
        <item x="161"/>
        <item x="398"/>
        <item x="179"/>
        <item x="203"/>
        <item x="272"/>
        <item x="322"/>
        <item x="55"/>
        <item x="441"/>
        <item x="0"/>
        <item x="7"/>
        <item x="498"/>
        <item x="40"/>
        <item x="260"/>
        <item x="228"/>
        <item x="130"/>
        <item x="1"/>
        <item x="461"/>
        <item x="495"/>
        <item x="298"/>
        <item x="32"/>
        <item x="170"/>
        <item x="190"/>
        <item x="12"/>
        <item x="363"/>
        <item x="317"/>
        <item x="353"/>
        <item x="343"/>
        <item x="236"/>
        <item x="214"/>
        <item x="294"/>
        <item x="456"/>
        <item x="410"/>
        <item x="101"/>
        <item x="284"/>
        <item x="85"/>
        <item x="250"/>
        <item x="335"/>
        <item x="463"/>
        <item x="175"/>
        <item x="147"/>
        <item x="56"/>
        <item x="226"/>
        <item x="174"/>
        <item x="432"/>
        <item x="59"/>
        <item x="316"/>
        <item x="19"/>
        <item x="140"/>
        <item x="273"/>
        <item x="183"/>
        <item x="143"/>
        <item x="206"/>
        <item x="6"/>
        <item x="271"/>
        <item x="440"/>
        <item x="252"/>
        <item x="81"/>
        <item x="111"/>
        <item x="77"/>
        <item x="145"/>
        <item x="69"/>
        <item x="186"/>
        <item x="466"/>
        <item x="304"/>
        <item x="458"/>
        <item x="453"/>
        <item x="87"/>
        <item x="167"/>
        <item x="474"/>
        <item x="354"/>
        <item x="96"/>
        <item x="291"/>
        <item x="446"/>
        <item x="151"/>
        <item x="401"/>
        <item x="160"/>
        <item x="350"/>
        <item x="189"/>
        <item x="266"/>
        <item x="177"/>
        <item x="351"/>
        <item x="292"/>
        <item x="8"/>
        <item x="141"/>
        <item x="493"/>
        <item x="332"/>
        <item x="376"/>
        <item x="244"/>
        <item x="476"/>
        <item x="355"/>
        <item x="144"/>
        <item x="258"/>
        <item x="210"/>
        <item x="50"/>
        <item x="165"/>
        <item x="188"/>
        <item x="465"/>
        <item x="78"/>
        <item x="30"/>
        <item x="422"/>
        <item x="319"/>
        <item x="315"/>
        <item x="127"/>
        <item x="338"/>
        <item x="18"/>
        <item x="448"/>
        <item x="37"/>
        <item x="178"/>
        <item x="157"/>
        <item x="278"/>
        <item x="437"/>
        <item x="295"/>
        <item x="499"/>
        <item x="201"/>
        <item x="387"/>
        <item x="110"/>
        <item x="184"/>
        <item x="426"/>
        <item x="259"/>
        <item x="369"/>
        <item x="405"/>
        <item x="413"/>
        <item x="274"/>
        <item x="14"/>
        <item x="447"/>
        <item x="86"/>
        <item x="331"/>
        <item x="133"/>
        <item x="21"/>
        <item x="415"/>
        <item x="219"/>
        <item x="103"/>
        <item x="404"/>
        <item x="457"/>
        <item x="414"/>
        <item x="142"/>
        <item x="283"/>
        <item x="116"/>
        <item x="221"/>
        <item x="340"/>
        <item x="215"/>
        <item x="156"/>
        <item x="431"/>
        <item x="242"/>
        <item x="93"/>
        <item x="381"/>
        <item x="191"/>
        <item x="199"/>
        <item x="187"/>
        <item x="247"/>
        <item x="33"/>
        <item x="265"/>
        <item x="49"/>
        <item x="310"/>
        <item x="281"/>
        <item x="52"/>
        <item x="254"/>
        <item x="301"/>
        <item x="108"/>
        <item x="223"/>
        <item x="25"/>
        <item x="207"/>
        <item x="313"/>
        <item x="240"/>
        <item x="384"/>
        <item x="261"/>
        <item x="64"/>
        <item x="269"/>
        <item x="71"/>
        <item x="239"/>
        <item x="385"/>
        <item x="232"/>
        <item x="348"/>
        <item x="469"/>
        <item x="106"/>
        <item x="416"/>
        <item x="124"/>
        <item x="246"/>
        <item x="41"/>
        <item x="120"/>
        <item x="146"/>
        <item x="43"/>
        <item x="356"/>
        <item x="289"/>
        <item x="155"/>
        <item x="484"/>
        <item x="109"/>
        <item x="24"/>
        <item x="27"/>
        <item x="38"/>
        <item x="216"/>
        <item x="399"/>
        <item x="477"/>
        <item x="307"/>
        <item x="462"/>
        <item x="4"/>
        <item x="104"/>
        <item x="489"/>
        <item x="427"/>
        <item x="139"/>
        <item x="20"/>
        <item x="451"/>
        <item x="485"/>
        <item x="51"/>
        <item x="264"/>
        <item x="115"/>
        <item x="137"/>
        <item x="102"/>
        <item x="449"/>
        <item x="436"/>
        <item x="454"/>
        <item x="345"/>
        <item x="303"/>
        <item x="185"/>
        <item x="282"/>
        <item x="74"/>
        <item x="118"/>
        <item x="497"/>
        <item x="287"/>
        <item x="162"/>
        <item x="63"/>
        <item x="306"/>
        <item x="371"/>
        <item x="478"/>
        <item x="36"/>
        <item x="84"/>
        <item x="28"/>
        <item x="487"/>
        <item x="35"/>
        <item x="400"/>
        <item x="444"/>
        <item x="312"/>
        <item x="153"/>
        <item x="68"/>
        <item x="380"/>
        <item x="197"/>
        <item x="346"/>
        <item x="407"/>
        <item x="224"/>
        <item x="227"/>
        <item x="433"/>
        <item x="73"/>
        <item x="429"/>
        <item x="288"/>
        <item x="249"/>
        <item x="90"/>
        <item x="166"/>
        <item x="267"/>
        <item x="176"/>
        <item x="311"/>
        <item x="382"/>
        <item x="100"/>
        <item x="496"/>
        <item x="204"/>
        <item x="10"/>
        <item x="62"/>
        <item x="367"/>
        <item x="138"/>
        <item x="182"/>
        <item x="412"/>
        <item x="72"/>
        <item x="420"/>
        <item x="357"/>
        <item x="132"/>
        <item x="450"/>
        <item x="3"/>
        <item x="333"/>
        <item x="171"/>
        <item x="83"/>
        <item x="26"/>
        <item x="373"/>
        <item x="94"/>
        <item x="225"/>
        <item x="455"/>
        <item x="255"/>
        <item x="421"/>
        <item x="196"/>
        <item x="300"/>
        <item x="262"/>
        <item x="17"/>
        <item x="324"/>
        <item x="388"/>
        <item x="403"/>
        <item x="492"/>
        <item x="302"/>
        <item x="386"/>
        <item x="434"/>
        <item x="16"/>
        <item x="442"/>
        <item x="439"/>
        <item x="211"/>
        <item x="164"/>
        <item x="23"/>
        <item x="229"/>
        <item x="390"/>
        <item x="308"/>
        <item x="375"/>
        <item x="168"/>
        <item x="468"/>
        <item x="467"/>
        <item x="44"/>
        <item x="148"/>
        <item x="275"/>
        <item x="169"/>
        <item x="318"/>
        <item x="475"/>
        <item x="97"/>
        <item x="365"/>
        <item x="395"/>
        <item x="342"/>
        <item x="80"/>
        <item x="279"/>
        <item x="61"/>
        <item x="285"/>
        <item x="321"/>
        <item x="180"/>
        <item x="276"/>
        <item x="172"/>
        <item x="472"/>
        <item x="323"/>
        <item x="58"/>
        <item x="22"/>
        <item x="394"/>
        <item x="464"/>
        <item x="256"/>
        <item x="31"/>
        <item x="5"/>
        <item x="123"/>
        <item x="57"/>
        <item x="417"/>
        <item x="364"/>
        <item x="358"/>
        <item x="470"/>
        <item x="113"/>
        <item x="393"/>
        <item x="253"/>
        <item x="425"/>
        <item x="328"/>
        <item x="293"/>
        <item x="408"/>
        <item x="245"/>
        <item x="251"/>
        <item x="89"/>
        <item x="391"/>
        <item x="76"/>
        <item x="248"/>
        <item t="default"/>
      </items>
    </pivotField>
    <pivotField showAll="0">
      <items count="5">
        <item x="3"/>
        <item x="0"/>
        <item x="1"/>
        <item x="2"/>
        <item t="default"/>
      </items>
    </pivotField>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Total_Sales" fld="13"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3" count="1" selected="0">
            <x v="0"/>
          </reference>
        </references>
      </pivotArea>
    </chartFormat>
    <chartFormat chart="5" format="22">
      <pivotArea type="data" outline="0" fieldPosition="0">
        <references count="2">
          <reference field="4294967294" count="1" selected="0">
            <x v="0"/>
          </reference>
          <reference field="3" count="1" selected="0">
            <x v="1"/>
          </reference>
        </references>
      </pivotArea>
    </chartFormat>
    <chartFormat chart="5" format="23">
      <pivotArea type="data" outline="0" fieldPosition="0">
        <references count="2">
          <reference field="4294967294" count="1" selected="0">
            <x v="0"/>
          </reference>
          <reference field="3" count="1" selected="0">
            <x v="2"/>
          </reference>
        </references>
      </pivotArea>
    </chartFormat>
    <chartFormat chart="5"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7BC4C-9102-4A6E-9C71-D731076140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3:V4" firstHeaderRow="1" firstDataRow="1" firstDataCol="0"/>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Sum of Total_Sales"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5ADBE-8366-4554-8C84-6E31F1F35EC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D3:AD4" firstHeaderRow="1" firstDataRow="1" firstDataCol="0"/>
  <pivotFields count="22">
    <pivotField showAll="0"/>
    <pivotField showAll="0"/>
    <pivotField showAll="0"/>
    <pivotField showAll="0">
      <items count="5">
        <item x="3"/>
        <item x="0"/>
        <item x="1"/>
        <item x="2"/>
        <item t="default"/>
      </items>
    </pivotField>
    <pivotField showAll="0">
      <items count="9">
        <item x="2"/>
        <item x="0"/>
        <item x="5"/>
        <item x="7"/>
        <item x="6"/>
        <item x="3"/>
        <item x="1"/>
        <item x="4"/>
        <item t="default"/>
      </items>
    </pivotField>
    <pivotField showAll="0">
      <items count="4">
        <item x="2"/>
        <item x="1"/>
        <item x="0"/>
        <item t="default"/>
      </items>
    </pivotField>
    <pivotField showAll="0">
      <items count="11">
        <item x="0"/>
        <item x="8"/>
        <item x="5"/>
        <item x="7"/>
        <item x="2"/>
        <item x="1"/>
        <item x="9"/>
        <item x="6"/>
        <item x="4"/>
        <item x="3"/>
        <item t="default"/>
      </items>
    </pivotField>
    <pivotField showAll="0"/>
    <pivotField showAll="0"/>
    <pivotField showAll="0"/>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Total_Sales" fld="13"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0D3E94-9A99-42FB-ACA5-D6F70664A1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R4" firstHeaderRow="1" firstDataRow="1" firstDataCol="0"/>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Sum of Unit_Pr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22741C-5527-4216-9682-06C3936B6E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13:R24" firstHeaderRow="1" firstDataRow="1" firstDataCol="1"/>
  <pivotFields count="22">
    <pivotField showAll="0"/>
    <pivotField showAll="0"/>
    <pivotField showAll="0"/>
    <pivotField showAll="0">
      <items count="5">
        <item x="3"/>
        <item x="0"/>
        <item x="1"/>
        <item x="2"/>
        <item t="default"/>
      </items>
    </pivotField>
    <pivotField showAll="0">
      <items count="9">
        <item x="2"/>
        <item x="0"/>
        <item x="5"/>
        <item x="7"/>
        <item x="6"/>
        <item x="3"/>
        <item x="1"/>
        <item x="4"/>
        <item t="default"/>
      </items>
    </pivotField>
    <pivotField showAll="0">
      <items count="4">
        <item x="2"/>
        <item x="1"/>
        <item x="0"/>
        <item t="default"/>
      </items>
    </pivotField>
    <pivotField axis="axisRow" showAll="0">
      <items count="11">
        <item x="0"/>
        <item x="8"/>
        <item x="5"/>
        <item x="7"/>
        <item x="2"/>
        <item x="1"/>
        <item x="9"/>
        <item x="6"/>
        <item x="4"/>
        <item x="3"/>
        <item t="default"/>
      </items>
    </pivotField>
    <pivotField showAll="0"/>
    <pivotField showAll="0"/>
    <pivotField showAll="0"/>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Average of Total_Sales" fld="13"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D4D9C8-E3B8-477C-93BD-D3443201C1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3:G22" firstHeaderRow="1" firstDataRow="1" firstDataCol="1"/>
  <pivotFields count="22">
    <pivotField showAll="0"/>
    <pivotField showAll="0"/>
    <pivotField showAll="0"/>
    <pivotField showAll="0">
      <items count="5">
        <item x="3"/>
        <item x="0"/>
        <item x="1"/>
        <item x="2"/>
        <item t="default"/>
      </items>
    </pivotField>
    <pivotField axis="axisRow" showAll="0">
      <items count="9">
        <item x="2"/>
        <item x="0"/>
        <item x="5"/>
        <item x="7"/>
        <item x="6"/>
        <item x="3"/>
        <item x="1"/>
        <item x="4"/>
        <item t="default"/>
      </items>
    </pivotField>
    <pivotField showAll="0">
      <items count="4">
        <item x="2"/>
        <item x="1"/>
        <item x="0"/>
        <item t="default"/>
      </items>
    </pivotField>
    <pivotField showAll="0">
      <items count="11">
        <item x="0"/>
        <item x="8"/>
        <item x="5"/>
        <item x="7"/>
        <item x="2"/>
        <item x="1"/>
        <item x="9"/>
        <item x="6"/>
        <item x="4"/>
        <item x="3"/>
        <item t="default"/>
      </items>
    </pivotField>
    <pivotField showAll="0"/>
    <pivotField showAll="0"/>
    <pivotField showAll="0"/>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Shipping_Cost" fld="12" baseField="0" baseItem="0"/>
  </dataFields>
  <chartFormats count="3">
    <chartFormat chart="0"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549F45-8BC4-485E-91A6-2B81B21BDAD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3:K22" firstHeaderRow="1" firstDataRow="1" firstDataCol="1"/>
  <pivotFields count="22">
    <pivotField showAll="0"/>
    <pivotField showAll="0"/>
    <pivotField showAll="0"/>
    <pivotField showAll="0">
      <items count="5">
        <item x="3"/>
        <item x="0"/>
        <item x="1"/>
        <item x="2"/>
        <item t="default"/>
      </items>
    </pivotField>
    <pivotField axis="axisRow" showAll="0">
      <items count="9">
        <item x="2"/>
        <item x="0"/>
        <item x="5"/>
        <item x="7"/>
        <item x="6"/>
        <item x="3"/>
        <item x="1"/>
        <item x="4"/>
        <item t="default"/>
      </items>
    </pivotField>
    <pivotField showAll="0">
      <items count="4">
        <item x="2"/>
        <item x="1"/>
        <item x="0"/>
        <item t="default"/>
      </items>
    </pivotField>
    <pivotField showAll="0">
      <items count="11">
        <item x="0"/>
        <item x="8"/>
        <item x="5"/>
        <item x="7"/>
        <item x="2"/>
        <item x="1"/>
        <item x="9"/>
        <item x="6"/>
        <item x="4"/>
        <item x="3"/>
        <item t="default"/>
      </items>
    </pivotField>
    <pivotField showAll="0"/>
    <pivotField showAll="0"/>
    <pivotField showAll="0"/>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Average of Total_Sales" fld="13" subtotal="average" baseField="4"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298531-4F4F-4F3A-8071-4134CA2379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axis="axisRow" showAll="0">
      <items count="11">
        <item x="0"/>
        <item x="8"/>
        <item x="5"/>
        <item x="7"/>
        <item x="2"/>
        <item x="1"/>
        <item x="9"/>
        <item x="6"/>
        <item x="4"/>
        <item x="3"/>
        <item t="default"/>
      </items>
    </pivotField>
    <pivotField showAll="0"/>
    <pivotField showAll="0"/>
    <pivotField showAll="0"/>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Profit" fld="15" baseField="0" baseItem="0"/>
  </dataFields>
  <chartFormats count="3">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F064EC-FDAE-4880-8757-24D2679D070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Y3:Y4" firstHeaderRow="1" firstDataRow="1" firstDataCol="0"/>
  <pivotFields count="22">
    <pivotField showAll="0"/>
    <pivotField showAll="0"/>
    <pivotField showAll="0"/>
    <pivotField showAll="0">
      <items count="5">
        <item x="3"/>
        <item x="0"/>
        <item x="1"/>
        <item x="2"/>
        <item t="default"/>
      </items>
    </pivotField>
    <pivotField showAll="0">
      <items count="9">
        <item x="2"/>
        <item x="0"/>
        <item x="5"/>
        <item x="7"/>
        <item x="6"/>
        <item x="3"/>
        <item x="1"/>
        <item x="4"/>
        <item t="default"/>
      </items>
    </pivotField>
    <pivotField showAll="0">
      <items count="4">
        <item x="2"/>
        <item x="1"/>
        <item x="0"/>
        <item t="default"/>
      </items>
    </pivotField>
    <pivotField showAll="0">
      <items count="11">
        <item x="0"/>
        <item x="8"/>
        <item x="5"/>
        <item x="7"/>
        <item x="2"/>
        <item x="1"/>
        <item x="9"/>
        <item x="6"/>
        <item x="4"/>
        <item x="3"/>
        <item t="default"/>
      </items>
    </pivotField>
    <pivotField showAll="0"/>
    <pivotField showAll="0"/>
    <pivotField showAll="0"/>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Sum of Shipping_Cost" fld="12"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1EEF37-4756-4F6D-986C-2AA02A9E6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8" firstHeaderRow="1" firstDataRow="1" firstDataCol="1"/>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axis="axisRow" showAll="0">
      <items count="5">
        <item x="3"/>
        <item x="0"/>
        <item x="1"/>
        <item x="2"/>
        <item t="default"/>
      </items>
    </pivotField>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Total_Sales" fld="13"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pivotArea type="data" outline="0" fieldPosition="0">
        <references count="2">
          <reference field="4294967294" count="1" selected="0">
            <x v="0"/>
          </reference>
          <reference field="14" count="1" selected="0">
            <x v="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14" count="1" selected="0">
            <x v="0"/>
          </reference>
        </references>
      </pivotArea>
    </chartFormat>
    <chartFormat chart="6" format="22">
      <pivotArea type="data" outline="0" fieldPosition="0">
        <references count="2">
          <reference field="4294967294" count="1" selected="0">
            <x v="0"/>
          </reference>
          <reference field="14" count="1" selected="0">
            <x v="1"/>
          </reference>
        </references>
      </pivotArea>
    </chartFormat>
    <chartFormat chart="6" format="23">
      <pivotArea type="data" outline="0" fieldPosition="0">
        <references count="2">
          <reference field="4294967294" count="1" selected="0">
            <x v="0"/>
          </reference>
          <reference field="14" count="1" selected="0">
            <x v="2"/>
          </reference>
        </references>
      </pivotArea>
    </chartFormat>
    <chartFormat chart="6" format="2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0815F6-D19E-4A0A-8AE0-38804AABE6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7" firstHeaderRow="1" firstDataRow="1" firstDataCol="1"/>
  <pivotFields count="22">
    <pivotField showAll="0"/>
    <pivotField showAll="0"/>
    <pivotField showAll="0"/>
    <pivotField showAll="0">
      <items count="5">
        <item x="3"/>
        <item x="0"/>
        <item x="1"/>
        <item x="2"/>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dataField="1" showAll="0">
      <items count="501">
        <item x="47"/>
        <item x="349"/>
        <item x="88"/>
        <item x="208"/>
        <item x="481"/>
        <item x="483"/>
        <item x="11"/>
        <item x="67"/>
        <item x="299"/>
        <item x="480"/>
        <item x="241"/>
        <item x="112"/>
        <item x="136"/>
        <item x="119"/>
        <item x="471"/>
        <item x="202"/>
        <item x="411"/>
        <item x="222"/>
        <item x="406"/>
        <item x="347"/>
        <item x="209"/>
        <item x="126"/>
        <item x="326"/>
        <item x="192"/>
        <item x="362"/>
        <item x="377"/>
        <item x="107"/>
        <item x="430"/>
        <item x="243"/>
        <item x="125"/>
        <item x="128"/>
        <item x="334"/>
        <item x="129"/>
        <item x="218"/>
        <item x="66"/>
        <item x="452"/>
        <item x="34"/>
        <item x="195"/>
        <item x="305"/>
        <item x="336"/>
        <item x="424"/>
        <item x="389"/>
        <item x="482"/>
        <item x="460"/>
        <item x="341"/>
        <item x="296"/>
        <item x="65"/>
        <item x="2"/>
        <item x="70"/>
        <item x="53"/>
        <item x="329"/>
        <item x="330"/>
        <item x="231"/>
        <item x="235"/>
        <item x="277"/>
        <item x="409"/>
        <item x="494"/>
        <item x="95"/>
        <item x="459"/>
        <item x="491"/>
        <item x="39"/>
        <item x="48"/>
        <item x="325"/>
        <item x="159"/>
        <item x="361"/>
        <item x="352"/>
        <item x="82"/>
        <item x="488"/>
        <item x="383"/>
        <item x="370"/>
        <item x="379"/>
        <item x="205"/>
        <item x="79"/>
        <item x="280"/>
        <item x="339"/>
        <item x="152"/>
        <item x="233"/>
        <item x="46"/>
        <item x="360"/>
        <item x="428"/>
        <item x="54"/>
        <item x="154"/>
        <item x="158"/>
        <item x="423"/>
        <item x="435"/>
        <item x="392"/>
        <item x="117"/>
        <item x="309"/>
        <item x="98"/>
        <item x="91"/>
        <item x="396"/>
        <item x="122"/>
        <item x="60"/>
        <item x="290"/>
        <item x="366"/>
        <item x="445"/>
        <item x="337"/>
        <item x="92"/>
        <item x="105"/>
        <item x="237"/>
        <item x="270"/>
        <item x="150"/>
        <item x="418"/>
        <item x="438"/>
        <item x="75"/>
        <item x="359"/>
        <item x="121"/>
        <item x="402"/>
        <item x="99"/>
        <item x="344"/>
        <item x="257"/>
        <item x="374"/>
        <item x="443"/>
        <item x="230"/>
        <item x="15"/>
        <item x="372"/>
        <item x="419"/>
        <item x="193"/>
        <item x="327"/>
        <item x="490"/>
        <item x="135"/>
        <item x="297"/>
        <item x="42"/>
        <item x="198"/>
        <item x="286"/>
        <item x="13"/>
        <item x="397"/>
        <item x="45"/>
        <item x="263"/>
        <item x="131"/>
        <item x="314"/>
        <item x="268"/>
        <item x="9"/>
        <item x="473"/>
        <item x="486"/>
        <item x="29"/>
        <item x="134"/>
        <item x="378"/>
        <item x="238"/>
        <item x="114"/>
        <item x="149"/>
        <item x="234"/>
        <item x="194"/>
        <item x="163"/>
        <item x="320"/>
        <item x="479"/>
        <item x="213"/>
        <item x="212"/>
        <item x="200"/>
        <item x="217"/>
        <item x="173"/>
        <item x="220"/>
        <item x="368"/>
        <item x="181"/>
        <item x="161"/>
        <item x="398"/>
        <item x="179"/>
        <item x="203"/>
        <item x="272"/>
        <item x="322"/>
        <item x="55"/>
        <item x="441"/>
        <item x="0"/>
        <item x="7"/>
        <item x="498"/>
        <item x="40"/>
        <item x="260"/>
        <item x="228"/>
        <item x="130"/>
        <item x="1"/>
        <item x="461"/>
        <item x="495"/>
        <item x="298"/>
        <item x="32"/>
        <item x="170"/>
        <item x="190"/>
        <item x="12"/>
        <item x="363"/>
        <item x="317"/>
        <item x="353"/>
        <item x="343"/>
        <item x="236"/>
        <item x="214"/>
        <item x="294"/>
        <item x="456"/>
        <item x="410"/>
        <item x="101"/>
        <item x="284"/>
        <item x="85"/>
        <item x="250"/>
        <item x="335"/>
        <item x="463"/>
        <item x="175"/>
        <item x="147"/>
        <item x="56"/>
        <item x="226"/>
        <item x="174"/>
        <item x="432"/>
        <item x="59"/>
        <item x="316"/>
        <item x="19"/>
        <item x="140"/>
        <item x="273"/>
        <item x="183"/>
        <item x="143"/>
        <item x="206"/>
        <item x="6"/>
        <item x="271"/>
        <item x="440"/>
        <item x="252"/>
        <item x="81"/>
        <item x="111"/>
        <item x="77"/>
        <item x="145"/>
        <item x="69"/>
        <item x="186"/>
        <item x="466"/>
        <item x="304"/>
        <item x="458"/>
        <item x="453"/>
        <item x="87"/>
        <item x="167"/>
        <item x="474"/>
        <item x="354"/>
        <item x="96"/>
        <item x="291"/>
        <item x="446"/>
        <item x="151"/>
        <item x="401"/>
        <item x="160"/>
        <item x="350"/>
        <item x="189"/>
        <item x="266"/>
        <item x="177"/>
        <item x="351"/>
        <item x="292"/>
        <item x="8"/>
        <item x="141"/>
        <item x="493"/>
        <item x="332"/>
        <item x="376"/>
        <item x="244"/>
        <item x="476"/>
        <item x="355"/>
        <item x="144"/>
        <item x="258"/>
        <item x="210"/>
        <item x="50"/>
        <item x="165"/>
        <item x="188"/>
        <item x="465"/>
        <item x="78"/>
        <item x="30"/>
        <item x="422"/>
        <item x="319"/>
        <item x="315"/>
        <item x="127"/>
        <item x="338"/>
        <item x="18"/>
        <item x="448"/>
        <item x="37"/>
        <item x="178"/>
        <item x="157"/>
        <item x="278"/>
        <item x="437"/>
        <item x="295"/>
        <item x="499"/>
        <item x="201"/>
        <item x="387"/>
        <item x="110"/>
        <item x="184"/>
        <item x="426"/>
        <item x="259"/>
        <item x="369"/>
        <item x="405"/>
        <item x="413"/>
        <item x="274"/>
        <item x="14"/>
        <item x="447"/>
        <item x="86"/>
        <item x="331"/>
        <item x="133"/>
        <item x="21"/>
        <item x="415"/>
        <item x="219"/>
        <item x="103"/>
        <item x="404"/>
        <item x="457"/>
        <item x="414"/>
        <item x="142"/>
        <item x="283"/>
        <item x="116"/>
        <item x="221"/>
        <item x="340"/>
        <item x="215"/>
        <item x="156"/>
        <item x="431"/>
        <item x="242"/>
        <item x="93"/>
        <item x="381"/>
        <item x="191"/>
        <item x="199"/>
        <item x="187"/>
        <item x="247"/>
        <item x="33"/>
        <item x="265"/>
        <item x="49"/>
        <item x="310"/>
        <item x="281"/>
        <item x="52"/>
        <item x="254"/>
        <item x="301"/>
        <item x="108"/>
        <item x="223"/>
        <item x="25"/>
        <item x="207"/>
        <item x="313"/>
        <item x="240"/>
        <item x="384"/>
        <item x="261"/>
        <item x="64"/>
        <item x="269"/>
        <item x="71"/>
        <item x="239"/>
        <item x="385"/>
        <item x="232"/>
        <item x="348"/>
        <item x="469"/>
        <item x="106"/>
        <item x="416"/>
        <item x="124"/>
        <item x="246"/>
        <item x="41"/>
        <item x="120"/>
        <item x="146"/>
        <item x="43"/>
        <item x="356"/>
        <item x="289"/>
        <item x="155"/>
        <item x="484"/>
        <item x="109"/>
        <item x="24"/>
        <item x="27"/>
        <item x="38"/>
        <item x="216"/>
        <item x="399"/>
        <item x="477"/>
        <item x="307"/>
        <item x="462"/>
        <item x="4"/>
        <item x="104"/>
        <item x="489"/>
        <item x="427"/>
        <item x="139"/>
        <item x="20"/>
        <item x="451"/>
        <item x="485"/>
        <item x="51"/>
        <item x="264"/>
        <item x="115"/>
        <item x="137"/>
        <item x="102"/>
        <item x="449"/>
        <item x="436"/>
        <item x="454"/>
        <item x="345"/>
        <item x="303"/>
        <item x="185"/>
        <item x="282"/>
        <item x="74"/>
        <item x="118"/>
        <item x="497"/>
        <item x="287"/>
        <item x="162"/>
        <item x="63"/>
        <item x="306"/>
        <item x="371"/>
        <item x="478"/>
        <item x="36"/>
        <item x="84"/>
        <item x="28"/>
        <item x="487"/>
        <item x="35"/>
        <item x="400"/>
        <item x="444"/>
        <item x="312"/>
        <item x="153"/>
        <item x="68"/>
        <item x="380"/>
        <item x="197"/>
        <item x="346"/>
        <item x="407"/>
        <item x="224"/>
        <item x="227"/>
        <item x="433"/>
        <item x="73"/>
        <item x="429"/>
        <item x="288"/>
        <item x="249"/>
        <item x="90"/>
        <item x="166"/>
        <item x="267"/>
        <item x="176"/>
        <item x="311"/>
        <item x="382"/>
        <item x="100"/>
        <item x="496"/>
        <item x="204"/>
        <item x="10"/>
        <item x="62"/>
        <item x="367"/>
        <item x="138"/>
        <item x="182"/>
        <item x="412"/>
        <item x="72"/>
        <item x="420"/>
        <item x="357"/>
        <item x="132"/>
        <item x="450"/>
        <item x="3"/>
        <item x="333"/>
        <item x="171"/>
        <item x="83"/>
        <item x="26"/>
        <item x="373"/>
        <item x="94"/>
        <item x="225"/>
        <item x="455"/>
        <item x="255"/>
        <item x="421"/>
        <item x="196"/>
        <item x="300"/>
        <item x="262"/>
        <item x="17"/>
        <item x="324"/>
        <item x="388"/>
        <item x="403"/>
        <item x="492"/>
        <item x="302"/>
        <item x="386"/>
        <item x="434"/>
        <item x="16"/>
        <item x="442"/>
        <item x="439"/>
        <item x="211"/>
        <item x="164"/>
        <item x="23"/>
        <item x="229"/>
        <item x="390"/>
        <item x="308"/>
        <item x="375"/>
        <item x="168"/>
        <item x="468"/>
        <item x="467"/>
        <item x="44"/>
        <item x="148"/>
        <item x="275"/>
        <item x="169"/>
        <item x="318"/>
        <item x="475"/>
        <item x="97"/>
        <item x="365"/>
        <item x="395"/>
        <item x="342"/>
        <item x="80"/>
        <item x="279"/>
        <item x="61"/>
        <item x="285"/>
        <item x="321"/>
        <item x="180"/>
        <item x="276"/>
        <item x="172"/>
        <item x="472"/>
        <item x="323"/>
        <item x="58"/>
        <item x="22"/>
        <item x="394"/>
        <item x="464"/>
        <item x="256"/>
        <item x="31"/>
        <item x="5"/>
        <item x="123"/>
        <item x="57"/>
        <item x="417"/>
        <item x="364"/>
        <item x="358"/>
        <item x="470"/>
        <item x="113"/>
        <item x="393"/>
        <item x="253"/>
        <item x="425"/>
        <item x="328"/>
        <item x="293"/>
        <item x="408"/>
        <item x="245"/>
        <item x="251"/>
        <item x="89"/>
        <item x="391"/>
        <item x="76"/>
        <item x="248"/>
        <item t="default"/>
      </items>
    </pivotField>
    <pivotField showAll="0">
      <items count="5">
        <item x="3"/>
        <item x="0"/>
        <item x="1"/>
        <item x="2"/>
        <item t="default"/>
      </items>
    </pivotField>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otal_Sales" fld="13" baseField="0" baseItem="0"/>
  </dataFields>
  <chartFormats count="3">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DF6AEC-3BAD-4B9A-8D44-C7071CE850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3:O14" firstHeaderRow="1" firstDataRow="1" firstDataCol="1"/>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axis="axisRow" showAll="0">
      <items count="11">
        <item x="0"/>
        <item x="8"/>
        <item x="5"/>
        <item x="7"/>
        <item x="2"/>
        <item x="1"/>
        <item x="9"/>
        <item x="6"/>
        <item x="4"/>
        <item x="3"/>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dataField="1"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Average of Rating" fld="19" subtotal="average" baseField="5"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F49D34-87B3-474B-9664-6999C4C034E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3:AA4" firstHeaderRow="1" firstDataRow="1" firstDataCol="0"/>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items count="11">
        <item x="0"/>
        <item x="8"/>
        <item x="5"/>
        <item x="7"/>
        <item x="2"/>
        <item x="1"/>
        <item x="9"/>
        <item x="6"/>
        <item x="4"/>
        <item x="3"/>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of Rating" fld="19"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CF51E1-9555-40E6-A104-87A0B2DAC2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3:T4" firstHeaderRow="1" firstDataRow="1" firstDataCol="0"/>
  <pivotFields count="22">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Sum of Discoun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489A57-5276-450B-998A-7BFAFA906503}" sourceName="Region">
  <pivotTables>
    <pivotTable tabId="2" name="PivotTable2"/>
    <pivotTable tabId="2" name="PivotTable1"/>
    <pivotTable tabId="2" name="PivotTable10"/>
    <pivotTable tabId="2" name="PivotTable13"/>
    <pivotTable tabId="2" name="PivotTable14"/>
    <pivotTable tabId="2" name="PivotTable15"/>
    <pivotTable tabId="2" name="PivotTable3"/>
    <pivotTable tabId="2" name="PivotTable4"/>
    <pivotTable tabId="2" name="PivotTable5"/>
    <pivotTable tabId="2" name="PivotTable6"/>
    <pivotTable tabId="2" name="PivotTable8"/>
    <pivotTable tabId="2" name="PivotTable9"/>
    <pivotTable tabId="2" name="PivotTable11"/>
    <pivotTable tabId="2" name="PivotTable12"/>
  </pivotTables>
  <data>
    <tabular pivotCacheId="26410904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6BE971A-B226-4601-93F0-415D77A90859}" sourceName="Product_Category">
  <pivotTables>
    <pivotTable tabId="2" name="PivotTable2"/>
    <pivotTable tabId="2" name="PivotTable1"/>
    <pivotTable tabId="2" name="PivotTable10"/>
    <pivotTable tabId="2" name="PivotTable13"/>
    <pivotTable tabId="2" name="PivotTable14"/>
    <pivotTable tabId="2" name="PivotTable15"/>
    <pivotTable tabId="2" name="PivotTable3"/>
    <pivotTable tabId="2" name="PivotTable4"/>
    <pivotTable tabId="2" name="PivotTable5"/>
    <pivotTable tabId="2" name="PivotTable6"/>
    <pivotTable tabId="2" name="PivotTable8"/>
    <pivotTable tabId="2" name="PivotTable9"/>
    <pivotTable tabId="2" name="PivotTable11"/>
    <pivotTable tabId="2" name="PivotTable12"/>
  </pivotTables>
  <data>
    <tabular pivotCacheId="26410904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B6F04ED-BCCE-4111-A0DF-6C8DBD39A867}" sourceName="Payment_Method">
  <pivotTables>
    <pivotTable tabId="2" name="PivotTable4"/>
    <pivotTable tabId="2" name="PivotTable1"/>
    <pivotTable tabId="2" name="PivotTable10"/>
    <pivotTable tabId="2" name="PivotTable13"/>
    <pivotTable tabId="2" name="PivotTable14"/>
    <pivotTable tabId="2" name="PivotTable15"/>
    <pivotTable tabId="2" name="PivotTable2"/>
    <pivotTable tabId="2" name="PivotTable3"/>
    <pivotTable tabId="2" name="PivotTable5"/>
    <pivotTable tabId="2" name="PivotTable6"/>
    <pivotTable tabId="2" name="PivotTable8"/>
    <pivotTable tabId="2" name="PivotTable9"/>
    <pivotTable tabId="2" name="PivotTable11"/>
    <pivotTable tabId="2" name="PivotTable12"/>
  </pivotTables>
  <data>
    <tabular pivotCacheId="26410904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50CF775-72FD-41F3-A12F-35D7C866C450}" cache="Slicer_Region" caption="Region" startItem="1" rowHeight="241300"/>
  <slicer name="Product_Category 1" xr10:uid="{1F098D5C-D670-43F4-A230-C5BCC7EE744F}" cache="Slicer_Product_Category" caption="Product_Category" rowHeight="241300"/>
  <slicer name="Payment_Method 1" xr10:uid="{2F9A8333-38F1-490B-B8DD-AF482DFEB925}"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E0A66E-BAAD-430B-B99C-830E49EF398F}" name="Table1" displayName="Table1" ref="A1:V501" totalsRowShown="0" headerRowDxfId="24" dataDxfId="23">
  <autoFilter ref="A1:V501" xr:uid="{CEE0A66E-BAAD-430B-B99C-830E49EF398F}"/>
  <tableColumns count="22">
    <tableColumn id="1" xr3:uid="{1910AC7A-AF78-4ABE-B6AD-8FCE004D53B4}" name="Order_ID" dataDxfId="22"/>
    <tableColumn id="2" xr3:uid="{345A6CA7-9515-4F4D-9AC1-813D5AB666D3}" name="Order_Date" dataDxfId="21"/>
    <tableColumn id="3" xr3:uid="{787FE660-79D2-4224-898E-39732F8FEC19}" name="Customer_Name" dataDxfId="20"/>
    <tableColumn id="4" xr3:uid="{5303FF38-2A40-477E-A945-FDB754FAD113}" name="Region" dataDxfId="19"/>
    <tableColumn id="5" xr3:uid="{B885A76D-B14F-4E89-9AA0-14F5D6EA3BB9}" name="City" dataDxfId="18"/>
    <tableColumn id="6" xr3:uid="{82028261-745E-49A7-88E1-7A82BD6DF983}" name="Product_Category" dataDxfId="17"/>
    <tableColumn id="7" xr3:uid="{D001E6F0-7BC2-43CE-978C-BD10835BA733}" name="Product_Name" dataDxfId="16"/>
    <tableColumn id="8" xr3:uid="{28A40A2A-6374-47F1-AFCC-D1D57BA1FD75}" name="Sales_Rep" dataDxfId="15"/>
    <tableColumn id="9" xr3:uid="{B42C209E-1829-4219-A9F6-AEB03C62B6D6}" name="Quantity" dataDxfId="14"/>
    <tableColumn id="10" xr3:uid="{9FB13131-17B4-4818-8453-4A998CA7FFC5}" name="Unit_Price" dataDxfId="13"/>
    <tableColumn id="11" xr3:uid="{C1354CF0-F2F9-48CA-8A05-6B331B207443}" name="Discount" dataDxfId="12"/>
    <tableColumn id="12" xr3:uid="{23B4062C-0B8E-47F6-8460-CD334762EC68}" name="Tax" dataDxfId="11"/>
    <tableColumn id="13" xr3:uid="{35AD311E-7652-42B4-811F-C59B59A78975}" name="Shipping_Cost" dataDxfId="10"/>
    <tableColumn id="14" xr3:uid="{DBE2BDEE-4F3D-42C8-A2B7-2C4011E2878A}" name="Total_Sales" dataDxfId="9"/>
    <tableColumn id="15" xr3:uid="{1DE2D297-4B41-434E-A2E0-16BCC242344A}" name="Payment_Method" dataDxfId="8"/>
    <tableColumn id="16" xr3:uid="{2FA5695C-1688-44CB-AA72-46940B67CA75}" name="Profit" dataDxfId="7"/>
    <tableColumn id="17" xr3:uid="{02AEFF34-6731-4025-901E-3787BFA80F42}" name="Customer_Segment" dataDxfId="6"/>
    <tableColumn id="18" xr3:uid="{3F92E900-9B5E-46B0-935B-1F2F973B7419}" name="Order_Status" dataDxfId="5"/>
    <tableColumn id="19" xr3:uid="{F18C4779-A8C0-4431-B806-CEB1E5237CC7}" name="Delivery_Time_Days" dataDxfId="4"/>
    <tableColumn id="20" xr3:uid="{941E338F-F532-49B4-BA8D-D2FDB5A6419E}" name="Rating" dataDxfId="3"/>
    <tableColumn id="21" xr3:uid="{3FC72568-B980-4904-8C0A-E481EA21D5F4}" name="Sales prformance" dataDxfId="2">
      <calculatedColumnFormula array="1">_xlfn.IFS(N2&gt;200000,"PEAK SALES",N2&gt;100000,"GOOD SALES",N2&gt;50000,"AVERAGE SALES",N2&lt;50000,"PROFIT",N2&lt;10000,"LOSS")</calculatedColumnFormula>
    </tableColumn>
    <tableColumn id="22" xr3:uid="{86D21742-F5F8-4592-9D50-647A11E57913}" name="ordered month" dataDxfId="1">
      <calculatedColumnFormula>MONTH(B2)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B31-8E4E-4FAC-BC52-6A07CB0DF164}">
  <dimension ref="A3:AD24"/>
  <sheetViews>
    <sheetView topLeftCell="B69" zoomScale="128" workbookViewId="0">
      <selection activeCell="I85" sqref="I85"/>
    </sheetView>
  </sheetViews>
  <sheetFormatPr defaultRowHeight="15" x14ac:dyDescent="0.25"/>
  <cols>
    <col min="1" max="1" width="22.28515625" bestFit="1" customWidth="1"/>
    <col min="2" max="2" width="20.140625" bestFit="1" customWidth="1"/>
    <col min="3" max="3" width="12.7109375" bestFit="1" customWidth="1"/>
    <col min="4" max="5" width="12" bestFit="1" customWidth="1"/>
    <col min="6" max="6" width="22.28515625" bestFit="1" customWidth="1"/>
    <col min="7" max="7" width="30.5703125" bestFit="1" customWidth="1"/>
    <col min="8" max="9" width="13" bestFit="1" customWidth="1"/>
    <col min="10" max="10" width="22.28515625" bestFit="1" customWidth="1"/>
    <col min="11" max="11" width="27.28515625" bestFit="1" customWidth="1"/>
    <col min="12" max="13" width="11" bestFit="1" customWidth="1"/>
    <col min="14" max="14" width="22.28515625" bestFit="1" customWidth="1"/>
    <col min="15" max="15" width="33.7109375" bestFit="1" customWidth="1"/>
    <col min="16" max="17" width="12.85546875" bestFit="1" customWidth="1"/>
    <col min="18" max="18" width="22.28515625" bestFit="1" customWidth="1"/>
    <col min="19" max="19" width="33.7109375" bestFit="1" customWidth="1"/>
    <col min="20" max="20" width="23" bestFit="1" customWidth="1"/>
    <col min="22" max="22" width="27.28515625" bestFit="1" customWidth="1"/>
    <col min="25" max="25" width="30.5703125" bestFit="1" customWidth="1"/>
    <col min="27" max="27" width="26.28515625" bestFit="1" customWidth="1"/>
    <col min="30" max="30" width="33.7109375" bestFit="1" customWidth="1"/>
  </cols>
  <sheetData>
    <row r="3" spans="1:30" x14ac:dyDescent="0.25">
      <c r="A3" s="3" t="s">
        <v>190</v>
      </c>
      <c r="B3" t="s">
        <v>198</v>
      </c>
      <c r="F3" s="3" t="s">
        <v>190</v>
      </c>
      <c r="G3" t="s">
        <v>194</v>
      </c>
      <c r="J3" s="3" t="s">
        <v>190</v>
      </c>
      <c r="K3" t="s">
        <v>194</v>
      </c>
      <c r="N3" s="3" t="s">
        <v>190</v>
      </c>
      <c r="O3" t="s">
        <v>195</v>
      </c>
      <c r="R3" t="s">
        <v>192</v>
      </c>
      <c r="T3" t="s">
        <v>193</v>
      </c>
      <c r="V3" t="s">
        <v>194</v>
      </c>
      <c r="Y3" t="s">
        <v>196</v>
      </c>
      <c r="AA3" t="s">
        <v>195</v>
      </c>
      <c r="AD3" t="s">
        <v>197</v>
      </c>
    </row>
    <row r="4" spans="1:30" x14ac:dyDescent="0.25">
      <c r="A4" s="4" t="s">
        <v>25</v>
      </c>
      <c r="B4">
        <v>955393</v>
      </c>
      <c r="F4" s="4" t="s">
        <v>48</v>
      </c>
      <c r="G4">
        <v>14274278.880000006</v>
      </c>
      <c r="J4" s="4" t="s">
        <v>62</v>
      </c>
      <c r="K4">
        <v>12091728.170000006</v>
      </c>
      <c r="N4" s="4" t="s">
        <v>25</v>
      </c>
      <c r="O4">
        <v>3.3898305084745761</v>
      </c>
      <c r="R4">
        <v>15169660</v>
      </c>
      <c r="T4">
        <v>5583146.7999999998</v>
      </c>
      <c r="V4">
        <v>43372984.999999993</v>
      </c>
      <c r="Y4">
        <v>134702</v>
      </c>
      <c r="AA4">
        <v>3.03</v>
      </c>
      <c r="AD4">
        <v>86745.969999999987</v>
      </c>
    </row>
    <row r="5" spans="1:30" x14ac:dyDescent="0.25">
      <c r="A5" s="4" t="s">
        <v>80</v>
      </c>
      <c r="B5">
        <v>521822</v>
      </c>
      <c r="F5" s="4" t="s">
        <v>34</v>
      </c>
      <c r="G5">
        <v>14007886.239999993</v>
      </c>
      <c r="J5" s="4" t="s">
        <v>27</v>
      </c>
      <c r="K5">
        <v>10882030.400000002</v>
      </c>
      <c r="N5" s="4" t="s">
        <v>80</v>
      </c>
      <c r="O5">
        <v>3.2903225806451615</v>
      </c>
    </row>
    <row r="6" spans="1:30" x14ac:dyDescent="0.25">
      <c r="A6" s="4" t="s">
        <v>66</v>
      </c>
      <c r="B6">
        <v>1030230</v>
      </c>
      <c r="F6" s="4" t="s">
        <v>24</v>
      </c>
      <c r="G6">
        <v>15090819.880000003</v>
      </c>
      <c r="J6" s="4" t="s">
        <v>43</v>
      </c>
      <c r="K6">
        <v>8662271.3800000008</v>
      </c>
      <c r="N6" s="4" t="s">
        <v>66</v>
      </c>
      <c r="O6">
        <v>2.7419354838709675</v>
      </c>
      <c r="R6">
        <f>GETPIVOTDATA("Unit_Price",$R$3)</f>
        <v>15169660</v>
      </c>
      <c r="T6">
        <f>GETPIVOTDATA("Discount",$T$3)</f>
        <v>5583146.7999999998</v>
      </c>
      <c r="V6">
        <f>GETPIVOTDATA("Total_Sales",$V$3)</f>
        <v>43372984.999999993</v>
      </c>
      <c r="Y6">
        <f>GETPIVOTDATA("Shipping_Cost",$Y$3)</f>
        <v>134702</v>
      </c>
      <c r="AA6">
        <f>GETPIVOTDATA("Rating",$AA$3)</f>
        <v>3.03</v>
      </c>
      <c r="AD6">
        <f>GETPIVOTDATA("Total_Sales",$AD$3)</f>
        <v>86745.969999999987</v>
      </c>
    </row>
    <row r="7" spans="1:30" x14ac:dyDescent="0.25">
      <c r="A7" s="4" t="s">
        <v>77</v>
      </c>
      <c r="B7">
        <v>957743</v>
      </c>
      <c r="F7" s="4" t="s">
        <v>191</v>
      </c>
      <c r="G7">
        <v>43372985</v>
      </c>
      <c r="J7" s="4" t="s">
        <v>50</v>
      </c>
      <c r="K7">
        <v>11736955.049999997</v>
      </c>
      <c r="N7" s="4" t="s">
        <v>77</v>
      </c>
      <c r="O7">
        <v>2.8269230769230771</v>
      </c>
    </row>
    <row r="8" spans="1:30" x14ac:dyDescent="0.25">
      <c r="A8" s="4" t="s">
        <v>41</v>
      </c>
      <c r="B8">
        <v>861238</v>
      </c>
      <c r="J8" s="4" t="s">
        <v>191</v>
      </c>
      <c r="K8">
        <v>43372985.000000007</v>
      </c>
      <c r="N8" s="4" t="s">
        <v>41</v>
      </c>
      <c r="O8">
        <v>2.9038461538461537</v>
      </c>
    </row>
    <row r="9" spans="1:30" x14ac:dyDescent="0.25">
      <c r="A9" s="4" t="s">
        <v>35</v>
      </c>
      <c r="B9">
        <v>818633</v>
      </c>
      <c r="N9" s="4" t="s">
        <v>35</v>
      </c>
      <c r="O9">
        <v>3.0833333333333335</v>
      </c>
    </row>
    <row r="10" spans="1:30" x14ac:dyDescent="0.25">
      <c r="A10" s="4" t="s">
        <v>94</v>
      </c>
      <c r="B10">
        <v>921794</v>
      </c>
      <c r="N10" s="4" t="s">
        <v>94</v>
      </c>
      <c r="O10">
        <v>2.9038461538461537</v>
      </c>
    </row>
    <row r="11" spans="1:30" x14ac:dyDescent="0.25">
      <c r="A11" s="4" t="s">
        <v>69</v>
      </c>
      <c r="B11">
        <v>1065418</v>
      </c>
      <c r="N11" s="4" t="s">
        <v>69</v>
      </c>
      <c r="O11">
        <v>3.0172413793103448</v>
      </c>
    </row>
    <row r="12" spans="1:30" x14ac:dyDescent="0.25">
      <c r="A12" s="4" t="s">
        <v>60</v>
      </c>
      <c r="B12">
        <v>527142</v>
      </c>
      <c r="N12" s="4" t="s">
        <v>60</v>
      </c>
      <c r="O12">
        <v>3.3235294117647061</v>
      </c>
    </row>
    <row r="13" spans="1:30" x14ac:dyDescent="0.25">
      <c r="A13" s="4" t="s">
        <v>49</v>
      </c>
      <c r="B13">
        <v>722716</v>
      </c>
      <c r="F13" s="3" t="s">
        <v>190</v>
      </c>
      <c r="G13" t="s">
        <v>196</v>
      </c>
      <c r="J13" s="3" t="s">
        <v>190</v>
      </c>
      <c r="K13" t="s">
        <v>197</v>
      </c>
      <c r="N13" s="4" t="s">
        <v>49</v>
      </c>
      <c r="O13">
        <v>3.0384615384615383</v>
      </c>
      <c r="Q13" s="3" t="s">
        <v>190</v>
      </c>
      <c r="R13" t="s">
        <v>197</v>
      </c>
    </row>
    <row r="14" spans="1:30" x14ac:dyDescent="0.25">
      <c r="A14" s="4" t="s">
        <v>191</v>
      </c>
      <c r="B14">
        <v>8382129</v>
      </c>
      <c r="F14" s="4" t="s">
        <v>40</v>
      </c>
      <c r="G14">
        <v>15165</v>
      </c>
      <c r="J14" s="4" t="s">
        <v>40</v>
      </c>
      <c r="K14">
        <v>76744.88</v>
      </c>
      <c r="N14" s="4" t="s">
        <v>191</v>
      </c>
      <c r="O14">
        <v>3.03</v>
      </c>
      <c r="Q14" s="4" t="s">
        <v>25</v>
      </c>
      <c r="R14">
        <v>88318.009491525416</v>
      </c>
    </row>
    <row r="15" spans="1:30" x14ac:dyDescent="0.25">
      <c r="F15" s="4" t="s">
        <v>23</v>
      </c>
      <c r="G15">
        <v>18778</v>
      </c>
      <c r="J15" s="4" t="s">
        <v>23</v>
      </c>
      <c r="K15">
        <v>85490.77710144929</v>
      </c>
      <c r="Q15" s="4" t="s">
        <v>80</v>
      </c>
      <c r="R15">
        <v>86202.030322580642</v>
      </c>
    </row>
    <row r="16" spans="1:30" x14ac:dyDescent="0.25">
      <c r="F16" s="4" t="s">
        <v>56</v>
      </c>
      <c r="G16">
        <v>17986</v>
      </c>
      <c r="J16" s="4" t="s">
        <v>56</v>
      </c>
      <c r="K16">
        <v>103920.86954545454</v>
      </c>
      <c r="Q16" s="4" t="s">
        <v>66</v>
      </c>
      <c r="R16">
        <v>86111.757741935449</v>
      </c>
    </row>
    <row r="17" spans="1:18" x14ac:dyDescent="0.25">
      <c r="A17" s="3" t="s">
        <v>190</v>
      </c>
      <c r="B17" t="s">
        <v>194</v>
      </c>
      <c r="F17" s="4" t="s">
        <v>103</v>
      </c>
      <c r="G17">
        <v>19515</v>
      </c>
      <c r="J17" s="4" t="s">
        <v>103</v>
      </c>
      <c r="K17">
        <v>80793.981470588245</v>
      </c>
      <c r="Q17" s="4" t="s">
        <v>77</v>
      </c>
      <c r="R17">
        <v>95719.901538461534</v>
      </c>
    </row>
    <row r="18" spans="1:18" x14ac:dyDescent="0.25">
      <c r="A18" s="4" t="s">
        <v>73</v>
      </c>
      <c r="B18">
        <v>9082899.4100000001</v>
      </c>
      <c r="F18" s="4" t="s">
        <v>79</v>
      </c>
      <c r="G18">
        <v>14813</v>
      </c>
      <c r="J18" s="4" t="s">
        <v>79</v>
      </c>
      <c r="K18">
        <v>77522.978490566049</v>
      </c>
      <c r="Q18" s="4" t="s">
        <v>41</v>
      </c>
      <c r="R18">
        <v>86973.154038461536</v>
      </c>
    </row>
    <row r="19" spans="1:18" x14ac:dyDescent="0.25">
      <c r="A19" s="4" t="s">
        <v>22</v>
      </c>
      <c r="B19">
        <v>11361424.909999995</v>
      </c>
      <c r="F19" s="4" t="s">
        <v>47</v>
      </c>
      <c r="G19">
        <v>17343</v>
      </c>
      <c r="J19" s="4" t="s">
        <v>47</v>
      </c>
      <c r="K19">
        <v>85160.571515151547</v>
      </c>
      <c r="Q19" s="4" t="s">
        <v>35</v>
      </c>
      <c r="R19">
        <v>82245.297500000001</v>
      </c>
    </row>
    <row r="20" spans="1:18" x14ac:dyDescent="0.25">
      <c r="A20" s="4" t="s">
        <v>32</v>
      </c>
      <c r="B20">
        <v>10697644.859999999</v>
      </c>
      <c r="F20" s="4" t="s">
        <v>33</v>
      </c>
      <c r="G20">
        <v>17329</v>
      </c>
      <c r="J20" s="4" t="s">
        <v>33</v>
      </c>
      <c r="K20">
        <v>85121.960447761172</v>
      </c>
      <c r="Q20" s="4" t="s">
        <v>94</v>
      </c>
      <c r="R20">
        <v>89854.479999999981</v>
      </c>
    </row>
    <row r="21" spans="1:18" x14ac:dyDescent="0.25">
      <c r="A21" s="4" t="s">
        <v>59</v>
      </c>
      <c r="B21">
        <v>12231015.820000002</v>
      </c>
      <c r="F21" s="4" t="s">
        <v>54</v>
      </c>
      <c r="G21">
        <v>13773</v>
      </c>
      <c r="J21" s="4" t="s">
        <v>54</v>
      </c>
      <c r="K21">
        <v>98823.835471698098</v>
      </c>
      <c r="Q21" s="4" t="s">
        <v>69</v>
      </c>
      <c r="R21">
        <v>89786.626896551708</v>
      </c>
    </row>
    <row r="22" spans="1:18" x14ac:dyDescent="0.25">
      <c r="A22" s="4" t="s">
        <v>191</v>
      </c>
      <c r="B22">
        <v>43372984.999999993</v>
      </c>
      <c r="F22" s="4" t="s">
        <v>191</v>
      </c>
      <c r="G22">
        <v>134702</v>
      </c>
      <c r="J22" s="4" t="s">
        <v>191</v>
      </c>
      <c r="K22">
        <v>86745.970000000016</v>
      </c>
      <c r="Q22" s="4" t="s">
        <v>60</v>
      </c>
      <c r="R22">
        <v>84271.912058823553</v>
      </c>
    </row>
    <row r="23" spans="1:18" x14ac:dyDescent="0.25">
      <c r="Q23" s="4" t="s">
        <v>49</v>
      </c>
      <c r="R23">
        <v>76113.75038461537</v>
      </c>
    </row>
    <row r="24" spans="1:18" x14ac:dyDescent="0.25">
      <c r="Q24" s="4" t="s">
        <v>191</v>
      </c>
      <c r="R24">
        <v>86745.970000000059</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634CD-3EEF-4ACB-BD38-6DF75624E3D6}">
  <dimension ref="A1"/>
  <sheetViews>
    <sheetView tabSelected="1" workbookViewId="0">
      <selection activeCell="R33" sqref="R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1"/>
  <sheetViews>
    <sheetView topLeftCell="P1" workbookViewId="0">
      <selection activeCell="T2" sqref="T2"/>
    </sheetView>
  </sheetViews>
  <sheetFormatPr defaultRowHeight="15" x14ac:dyDescent="0.25"/>
  <cols>
    <col min="1" max="2" width="15" style="2" customWidth="1"/>
    <col min="3" max="3" width="18" style="2" customWidth="1"/>
    <col min="4" max="5" width="15" style="2" customWidth="1"/>
    <col min="6" max="6" width="18.85546875" style="2" customWidth="1"/>
    <col min="7" max="7" width="16.28515625" style="2" customWidth="1"/>
    <col min="8" max="8" width="16.7109375" style="2" customWidth="1"/>
    <col min="9" max="9" width="15" style="2" customWidth="1"/>
    <col min="10" max="22" width="23.5703125" style="2" customWidth="1"/>
    <col min="23" max="23" width="23.5703125" customWidth="1"/>
  </cols>
  <sheetData>
    <row r="1" spans="1:3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188</v>
      </c>
      <c r="V1" s="2" t="s">
        <v>189</v>
      </c>
    </row>
    <row r="2" spans="1:31" x14ac:dyDescent="0.25">
      <c r="A2" s="2">
        <v>2001</v>
      </c>
      <c r="B2" s="2" t="s">
        <v>20</v>
      </c>
      <c r="C2" s="2" t="s">
        <v>21</v>
      </c>
      <c r="D2" s="2" t="s">
        <v>22</v>
      </c>
      <c r="E2" s="2" t="s">
        <v>23</v>
      </c>
      <c r="F2" s="2" t="s">
        <v>24</v>
      </c>
      <c r="G2" s="2" t="s">
        <v>25</v>
      </c>
      <c r="H2" s="2" t="s">
        <v>26</v>
      </c>
      <c r="I2" s="2">
        <v>1</v>
      </c>
      <c r="J2" s="2">
        <v>41257</v>
      </c>
      <c r="K2" s="2">
        <v>5312.76</v>
      </c>
      <c r="L2" s="2">
        <v>4125.7</v>
      </c>
      <c r="M2" s="2">
        <v>484</v>
      </c>
      <c r="N2" s="2">
        <v>40553.94</v>
      </c>
      <c r="O2" s="2" t="s">
        <v>27</v>
      </c>
      <c r="P2" s="2">
        <v>8911</v>
      </c>
      <c r="Q2" s="2" t="s">
        <v>28</v>
      </c>
      <c r="R2" s="2" t="s">
        <v>29</v>
      </c>
      <c r="S2" s="2">
        <v>6</v>
      </c>
      <c r="T2" s="2">
        <v>1</v>
      </c>
      <c r="U2" s="2" t="str" cm="1">
        <f t="array" ref="U2">_xlfn.IFS(N2&gt;200000,"PEAK SALES",N2&gt;100000,"GOOD SALES",N2&gt;50000,"AVERAGE SALES",N2&lt;50000,"PROFIT",N2&lt;10000,"LOSS")</f>
        <v>PROFIT</v>
      </c>
      <c r="V2" s="2">
        <f>MONTH(B2)</f>
        <v>3</v>
      </c>
      <c r="AB2" s="1" t="s">
        <v>185</v>
      </c>
      <c r="AE2" s="1" t="s">
        <v>186</v>
      </c>
    </row>
    <row r="3" spans="1:31" x14ac:dyDescent="0.25">
      <c r="A3" s="2">
        <v>2002</v>
      </c>
      <c r="B3" s="2" t="s">
        <v>30</v>
      </c>
      <c r="C3" s="2" t="s">
        <v>31</v>
      </c>
      <c r="D3" s="2" t="s">
        <v>32</v>
      </c>
      <c r="E3" s="2" t="s">
        <v>33</v>
      </c>
      <c r="F3" s="2" t="s">
        <v>34</v>
      </c>
      <c r="G3" s="2" t="s">
        <v>35</v>
      </c>
      <c r="H3" s="2" t="s">
        <v>36</v>
      </c>
      <c r="I3" s="2">
        <v>5</v>
      </c>
      <c r="J3" s="2">
        <v>8777</v>
      </c>
      <c r="K3" s="2">
        <v>6301.96</v>
      </c>
      <c r="L3" s="2">
        <v>4388.5</v>
      </c>
      <c r="M3" s="2">
        <v>152</v>
      </c>
      <c r="N3" s="2">
        <v>42123.54</v>
      </c>
      <c r="O3" s="2" t="s">
        <v>27</v>
      </c>
      <c r="P3" s="2">
        <v>8943</v>
      </c>
      <c r="Q3" s="2" t="s">
        <v>28</v>
      </c>
      <c r="R3" s="2" t="s">
        <v>37</v>
      </c>
      <c r="S3" s="2">
        <v>9</v>
      </c>
      <c r="T3" s="2">
        <v>4</v>
      </c>
      <c r="U3" s="2" t="str" cm="1">
        <f t="array" ref="U3">_xlfn.IFS(N3&gt;200000,"PEAK SALES",N3&gt;100000,"GOOD SALES",N3&gt;50000,"AVERAGE SALES",N3&lt;50000,"PROFIT",N3&lt;10000,"LOSS")</f>
        <v>PROFIT</v>
      </c>
      <c r="V3" s="2">
        <f t="shared" ref="V3:V66" si="0">MONTH(B3)</f>
        <v>3</v>
      </c>
      <c r="AB3">
        <f>COUNTBLANK(A1:T501)</f>
        <v>0</v>
      </c>
      <c r="AE3" t="s">
        <v>187</v>
      </c>
    </row>
    <row r="4" spans="1:31" x14ac:dyDescent="0.25">
      <c r="A4" s="2">
        <v>2003</v>
      </c>
      <c r="B4" s="2" t="s">
        <v>38</v>
      </c>
      <c r="C4" s="2" t="s">
        <v>39</v>
      </c>
      <c r="D4" s="2" t="s">
        <v>22</v>
      </c>
      <c r="E4" s="2" t="s">
        <v>40</v>
      </c>
      <c r="F4" s="2" t="s">
        <v>34</v>
      </c>
      <c r="G4" s="2" t="s">
        <v>41</v>
      </c>
      <c r="H4" s="2" t="s">
        <v>42</v>
      </c>
      <c r="I4" s="2">
        <v>4</v>
      </c>
      <c r="J4" s="2">
        <v>3154</v>
      </c>
      <c r="K4" s="2">
        <v>2131.2399999999998</v>
      </c>
      <c r="L4" s="2">
        <v>1261.5999999999999</v>
      </c>
      <c r="M4" s="2">
        <v>316</v>
      </c>
      <c r="N4" s="2">
        <v>12062.36</v>
      </c>
      <c r="O4" s="2" t="s">
        <v>43</v>
      </c>
      <c r="P4" s="2">
        <v>2477</v>
      </c>
      <c r="Q4" s="2" t="s">
        <v>28</v>
      </c>
      <c r="R4" s="2" t="s">
        <v>44</v>
      </c>
      <c r="S4" s="2">
        <v>5</v>
      </c>
      <c r="T4" s="2">
        <v>2</v>
      </c>
      <c r="U4" s="2" t="str" cm="1">
        <f t="array" ref="U4">_xlfn.IFS(N4&gt;200000,"PEAK SALES",N4&gt;100000,"GOOD SALES",N4&gt;50000,"AVERAGE SALES",N4&lt;50000,"PROFIT",N4&lt;10000,"LOSS")</f>
        <v>PROFIT</v>
      </c>
      <c r="V4" s="2">
        <f t="shared" si="0"/>
        <v>3</v>
      </c>
    </row>
    <row r="5" spans="1:31" x14ac:dyDescent="0.25">
      <c r="A5" s="2">
        <v>2004</v>
      </c>
      <c r="B5" s="2" t="s">
        <v>45</v>
      </c>
      <c r="C5" s="2" t="s">
        <v>46</v>
      </c>
      <c r="D5" s="2" t="s">
        <v>22</v>
      </c>
      <c r="E5" s="2" t="s">
        <v>47</v>
      </c>
      <c r="F5" s="2" t="s">
        <v>48</v>
      </c>
      <c r="G5" s="2" t="s">
        <v>49</v>
      </c>
      <c r="H5" s="2" t="s">
        <v>36</v>
      </c>
      <c r="I5" s="2">
        <v>3</v>
      </c>
      <c r="J5" s="2">
        <v>58736</v>
      </c>
      <c r="K5" s="2">
        <v>28950.25</v>
      </c>
      <c r="L5" s="2">
        <v>17620.8</v>
      </c>
      <c r="M5" s="2">
        <v>167</v>
      </c>
      <c r="N5" s="2">
        <v>165045.54999999999</v>
      </c>
      <c r="O5" s="2" t="s">
        <v>50</v>
      </c>
      <c r="P5" s="2">
        <v>24211</v>
      </c>
      <c r="Q5" s="2" t="s">
        <v>28</v>
      </c>
      <c r="R5" s="2" t="s">
        <v>29</v>
      </c>
      <c r="S5" s="2">
        <v>5</v>
      </c>
      <c r="T5" s="2">
        <v>2</v>
      </c>
      <c r="U5" s="2" t="str" cm="1">
        <f t="array" ref="U5">_xlfn.IFS(N5&gt;200000,"PEAK SALES",N5&gt;100000,"GOOD SALES",N5&gt;50000,"AVERAGE SALES",N5&lt;50000,"PROFIT",N5&lt;10000,"LOSS")</f>
        <v>GOOD SALES</v>
      </c>
      <c r="V5" s="2">
        <f t="shared" si="0"/>
        <v>2</v>
      </c>
    </row>
    <row r="6" spans="1:31" x14ac:dyDescent="0.25">
      <c r="A6" s="2">
        <v>2005</v>
      </c>
      <c r="B6" s="2" t="s">
        <v>51</v>
      </c>
      <c r="C6" s="2" t="s">
        <v>39</v>
      </c>
      <c r="D6" s="2" t="s">
        <v>32</v>
      </c>
      <c r="E6" s="2" t="s">
        <v>33</v>
      </c>
      <c r="F6" s="2" t="s">
        <v>34</v>
      </c>
      <c r="G6" s="2" t="s">
        <v>35</v>
      </c>
      <c r="H6" s="2" t="s">
        <v>26</v>
      </c>
      <c r="I6" s="2">
        <v>5</v>
      </c>
      <c r="J6" s="2">
        <v>24074</v>
      </c>
      <c r="K6" s="2">
        <v>21540.79</v>
      </c>
      <c r="L6" s="2">
        <v>12037</v>
      </c>
      <c r="M6" s="2">
        <v>330</v>
      </c>
      <c r="N6" s="2">
        <v>111196.21</v>
      </c>
      <c r="O6" s="2" t="s">
        <v>50</v>
      </c>
      <c r="P6" s="2">
        <v>32648</v>
      </c>
      <c r="Q6" s="2" t="s">
        <v>52</v>
      </c>
      <c r="R6" s="2" t="s">
        <v>37</v>
      </c>
      <c r="S6" s="2">
        <v>1</v>
      </c>
      <c r="T6" s="2">
        <v>4</v>
      </c>
      <c r="U6" s="2" t="str" cm="1">
        <f t="array" ref="U6">_xlfn.IFS(N6&gt;200000,"PEAK SALES",N6&gt;100000,"GOOD SALES",N6&gt;50000,"AVERAGE SALES",N6&lt;50000,"PROFIT",N6&lt;10000,"LOSS")</f>
        <v>GOOD SALES</v>
      </c>
      <c r="V6" s="2">
        <f t="shared" si="0"/>
        <v>3</v>
      </c>
    </row>
    <row r="7" spans="1:31" x14ac:dyDescent="0.25">
      <c r="A7" s="2">
        <v>2006</v>
      </c>
      <c r="B7" s="2" t="s">
        <v>53</v>
      </c>
      <c r="C7" s="2" t="s">
        <v>39</v>
      </c>
      <c r="D7" s="2" t="s">
        <v>22</v>
      </c>
      <c r="E7" s="2" t="s">
        <v>54</v>
      </c>
      <c r="F7" s="2" t="s">
        <v>34</v>
      </c>
      <c r="G7" s="2" t="s">
        <v>35</v>
      </c>
      <c r="H7" s="2" t="s">
        <v>36</v>
      </c>
      <c r="I7" s="2">
        <v>5</v>
      </c>
      <c r="J7" s="2">
        <v>52381</v>
      </c>
      <c r="K7" s="2">
        <v>34996.15</v>
      </c>
      <c r="L7" s="2">
        <v>26190.5</v>
      </c>
      <c r="M7" s="2">
        <v>189</v>
      </c>
      <c r="N7" s="2">
        <v>253288.35</v>
      </c>
      <c r="O7" s="2" t="s">
        <v>43</v>
      </c>
      <c r="P7" s="2">
        <v>59380</v>
      </c>
      <c r="Q7" s="2" t="s">
        <v>28</v>
      </c>
      <c r="R7" s="2" t="s">
        <v>29</v>
      </c>
      <c r="S7" s="2">
        <v>5</v>
      </c>
      <c r="T7" s="2">
        <v>3</v>
      </c>
      <c r="U7" s="2" t="str" cm="1">
        <f t="array" ref="U7">_xlfn.IFS(N7&gt;200000,"PEAK SALES",N7&gt;100000,"GOOD SALES",N7&gt;50000,"AVERAGE SALES",N7&lt;50000,"PROFIT",N7&lt;10000,"LOSS")</f>
        <v>PEAK SALES</v>
      </c>
      <c r="V7" s="2">
        <f t="shared" si="0"/>
        <v>1</v>
      </c>
    </row>
    <row r="8" spans="1:31" x14ac:dyDescent="0.25">
      <c r="A8" s="2">
        <v>2007</v>
      </c>
      <c r="B8" s="2" t="s">
        <v>55</v>
      </c>
      <c r="C8" s="2" t="s">
        <v>31</v>
      </c>
      <c r="D8" s="2" t="s">
        <v>32</v>
      </c>
      <c r="E8" s="2" t="s">
        <v>56</v>
      </c>
      <c r="F8" s="2" t="s">
        <v>24</v>
      </c>
      <c r="G8" s="2" t="s">
        <v>25</v>
      </c>
      <c r="H8" s="2" t="s">
        <v>36</v>
      </c>
      <c r="I8" s="2">
        <v>3</v>
      </c>
      <c r="J8" s="2">
        <v>16343</v>
      </c>
      <c r="K8" s="2">
        <v>3024.4</v>
      </c>
      <c r="L8" s="2">
        <v>4902.8999999999996</v>
      </c>
      <c r="M8" s="2">
        <v>333</v>
      </c>
      <c r="N8" s="2">
        <v>51240.5</v>
      </c>
      <c r="O8" s="2" t="s">
        <v>50</v>
      </c>
      <c r="P8" s="2">
        <v>8399</v>
      </c>
      <c r="Q8" s="2" t="s">
        <v>52</v>
      </c>
      <c r="R8" s="2" t="s">
        <v>37</v>
      </c>
      <c r="S8" s="2">
        <v>7</v>
      </c>
      <c r="T8" s="2">
        <v>2</v>
      </c>
      <c r="U8" s="2" t="str" cm="1">
        <f t="array" ref="U8">_xlfn.IFS(N8&gt;200000,"PEAK SALES",N8&gt;100000,"GOOD SALES",N8&gt;50000,"AVERAGE SALES",N8&lt;50000,"PROFIT",N8&lt;10000,"LOSS")</f>
        <v>AVERAGE SALES</v>
      </c>
      <c r="V8" s="2">
        <f t="shared" si="0"/>
        <v>2</v>
      </c>
    </row>
    <row r="9" spans="1:31" x14ac:dyDescent="0.25">
      <c r="A9" s="2">
        <v>2008</v>
      </c>
      <c r="B9" s="2" t="s">
        <v>57</v>
      </c>
      <c r="C9" s="2" t="s">
        <v>58</v>
      </c>
      <c r="D9" s="2" t="s">
        <v>59</v>
      </c>
      <c r="E9" s="2" t="s">
        <v>40</v>
      </c>
      <c r="F9" s="2" t="s">
        <v>34</v>
      </c>
      <c r="G9" s="2" t="s">
        <v>60</v>
      </c>
      <c r="H9" s="2" t="s">
        <v>61</v>
      </c>
      <c r="I9" s="2">
        <v>1</v>
      </c>
      <c r="J9" s="2">
        <v>44685</v>
      </c>
      <c r="K9" s="2">
        <v>8544.73</v>
      </c>
      <c r="L9" s="2">
        <v>4468.5</v>
      </c>
      <c r="M9" s="2">
        <v>251</v>
      </c>
      <c r="N9" s="2">
        <v>40859.769999999997</v>
      </c>
      <c r="O9" s="2" t="s">
        <v>62</v>
      </c>
      <c r="P9" s="2">
        <v>7239</v>
      </c>
      <c r="Q9" s="2" t="s">
        <v>63</v>
      </c>
      <c r="R9" s="2" t="s">
        <v>29</v>
      </c>
      <c r="S9" s="2">
        <v>10</v>
      </c>
      <c r="T9" s="2">
        <v>1</v>
      </c>
      <c r="U9" s="2" t="str" cm="1">
        <f t="array" ref="U9">_xlfn.IFS(N9&gt;200000,"PEAK SALES",N9&gt;100000,"GOOD SALES",N9&gt;50000,"AVERAGE SALES",N9&lt;50000,"PROFIT",N9&lt;10000,"LOSS")</f>
        <v>PROFIT</v>
      </c>
      <c r="V9" s="2">
        <f t="shared" si="0"/>
        <v>1</v>
      </c>
    </row>
    <row r="10" spans="1:31" x14ac:dyDescent="0.25">
      <c r="A10" s="2">
        <v>2009</v>
      </c>
      <c r="B10" s="2" t="s">
        <v>64</v>
      </c>
      <c r="C10" s="2" t="s">
        <v>65</v>
      </c>
      <c r="D10" s="2" t="s">
        <v>59</v>
      </c>
      <c r="E10" s="2" t="s">
        <v>54</v>
      </c>
      <c r="F10" s="2" t="s">
        <v>48</v>
      </c>
      <c r="G10" s="2" t="s">
        <v>66</v>
      </c>
      <c r="H10" s="2" t="s">
        <v>42</v>
      </c>
      <c r="I10" s="2">
        <v>1</v>
      </c>
      <c r="J10" s="2">
        <v>57712</v>
      </c>
      <c r="K10" s="2">
        <v>6370.34</v>
      </c>
      <c r="L10" s="2">
        <v>5771.2</v>
      </c>
      <c r="M10" s="2">
        <v>210</v>
      </c>
      <c r="N10" s="2">
        <v>57322.86</v>
      </c>
      <c r="O10" s="2" t="s">
        <v>62</v>
      </c>
      <c r="P10" s="2">
        <v>16913</v>
      </c>
      <c r="Q10" s="2" t="s">
        <v>63</v>
      </c>
      <c r="R10" s="2" t="s">
        <v>44</v>
      </c>
      <c r="S10" s="2">
        <v>1</v>
      </c>
      <c r="T10" s="2">
        <v>1</v>
      </c>
      <c r="U10" s="2" t="str" cm="1">
        <f t="array" ref="U10">_xlfn.IFS(N10&gt;200000,"PEAK SALES",N10&gt;100000,"GOOD SALES",N10&gt;50000,"AVERAGE SALES",N10&lt;50000,"PROFIT",N10&lt;10000,"LOSS")</f>
        <v>AVERAGE SALES</v>
      </c>
      <c r="V10" s="2">
        <f t="shared" si="0"/>
        <v>1</v>
      </c>
    </row>
    <row r="11" spans="1:31" x14ac:dyDescent="0.25">
      <c r="A11" s="2">
        <v>2010</v>
      </c>
      <c r="B11" s="2" t="s">
        <v>67</v>
      </c>
      <c r="C11" s="2" t="s">
        <v>68</v>
      </c>
      <c r="D11" s="2" t="s">
        <v>32</v>
      </c>
      <c r="E11" s="2" t="s">
        <v>54</v>
      </c>
      <c r="F11" s="2" t="s">
        <v>24</v>
      </c>
      <c r="G11" s="2" t="s">
        <v>69</v>
      </c>
      <c r="H11" s="2" t="s">
        <v>26</v>
      </c>
      <c r="I11" s="2">
        <v>2</v>
      </c>
      <c r="J11" s="2">
        <v>15817</v>
      </c>
      <c r="K11" s="2">
        <v>3464.78</v>
      </c>
      <c r="L11" s="2">
        <v>3163.4</v>
      </c>
      <c r="M11" s="2">
        <v>167</v>
      </c>
      <c r="N11" s="2">
        <v>31499.62</v>
      </c>
      <c r="O11" s="2" t="s">
        <v>43</v>
      </c>
      <c r="P11" s="2">
        <v>7490</v>
      </c>
      <c r="Q11" s="2" t="s">
        <v>52</v>
      </c>
      <c r="R11" s="2" t="s">
        <v>44</v>
      </c>
      <c r="S11" s="2">
        <v>3</v>
      </c>
      <c r="T11" s="2">
        <v>1</v>
      </c>
      <c r="U11" s="2" t="str" cm="1">
        <f t="array" ref="U11">_xlfn.IFS(N11&gt;200000,"PEAK SALES",N11&gt;100000,"GOOD SALES",N11&gt;50000,"AVERAGE SALES",N11&lt;50000,"PROFIT",N11&lt;10000,"LOSS")</f>
        <v>PROFIT</v>
      </c>
      <c r="V11" s="2">
        <f t="shared" si="0"/>
        <v>4</v>
      </c>
    </row>
    <row r="12" spans="1:31" x14ac:dyDescent="0.25">
      <c r="A12" s="2">
        <v>2011</v>
      </c>
      <c r="B12" s="2" t="s">
        <v>70</v>
      </c>
      <c r="C12" s="2" t="s">
        <v>58</v>
      </c>
      <c r="D12" s="2" t="s">
        <v>22</v>
      </c>
      <c r="E12" s="2" t="s">
        <v>47</v>
      </c>
      <c r="F12" s="2" t="s">
        <v>24</v>
      </c>
      <c r="G12" s="2" t="s">
        <v>69</v>
      </c>
      <c r="H12" s="2" t="s">
        <v>36</v>
      </c>
      <c r="I12" s="2">
        <v>3</v>
      </c>
      <c r="J12" s="2">
        <v>49666</v>
      </c>
      <c r="K12" s="2">
        <v>12056.93</v>
      </c>
      <c r="L12" s="2">
        <v>14899.8</v>
      </c>
      <c r="M12" s="2">
        <v>102</v>
      </c>
      <c r="N12" s="2">
        <v>151942.87</v>
      </c>
      <c r="O12" s="2" t="s">
        <v>43</v>
      </c>
      <c r="P12" s="2">
        <v>41943</v>
      </c>
      <c r="Q12" s="2" t="s">
        <v>63</v>
      </c>
      <c r="R12" s="2" t="s">
        <v>29</v>
      </c>
      <c r="S12" s="2">
        <v>2</v>
      </c>
      <c r="T12" s="2">
        <v>2</v>
      </c>
      <c r="U12" s="2" t="str" cm="1">
        <f t="array" ref="U12">_xlfn.IFS(N12&gt;200000,"PEAK SALES",N12&gt;100000,"GOOD SALES",N12&gt;50000,"AVERAGE SALES",N12&lt;50000,"PROFIT",N12&lt;10000,"LOSS")</f>
        <v>GOOD SALES</v>
      </c>
      <c r="V12" s="2">
        <f t="shared" si="0"/>
        <v>1</v>
      </c>
    </row>
    <row r="13" spans="1:31" x14ac:dyDescent="0.25">
      <c r="A13" s="2">
        <v>2012</v>
      </c>
      <c r="B13" s="2" t="s">
        <v>71</v>
      </c>
      <c r="C13" s="2" t="s">
        <v>72</v>
      </c>
      <c r="D13" s="2" t="s">
        <v>73</v>
      </c>
      <c r="E13" s="2" t="s">
        <v>40</v>
      </c>
      <c r="F13" s="2" t="s">
        <v>48</v>
      </c>
      <c r="G13" s="2" t="s">
        <v>49</v>
      </c>
      <c r="H13" s="2" t="s">
        <v>61</v>
      </c>
      <c r="I13" s="2">
        <v>1</v>
      </c>
      <c r="J13" s="2">
        <v>3222</v>
      </c>
      <c r="K13" s="2">
        <v>259.27</v>
      </c>
      <c r="L13" s="2">
        <v>322.2</v>
      </c>
      <c r="M13" s="2">
        <v>200</v>
      </c>
      <c r="N13" s="2">
        <v>3484.93</v>
      </c>
      <c r="O13" s="2" t="s">
        <v>62</v>
      </c>
      <c r="P13" s="2">
        <v>787</v>
      </c>
      <c r="Q13" s="2" t="s">
        <v>52</v>
      </c>
      <c r="R13" s="2" t="s">
        <v>37</v>
      </c>
      <c r="S13" s="2">
        <v>10</v>
      </c>
      <c r="T13" s="2">
        <v>4</v>
      </c>
      <c r="U13" s="2" t="str" cm="1">
        <f t="array" ref="U13">_xlfn.IFS(N13&gt;200000,"PEAK SALES",N13&gt;100000,"GOOD SALES",N13&gt;50000,"AVERAGE SALES",N13&lt;50000,"PROFIT",N13&lt;10000,"LOSS")</f>
        <v>PROFIT</v>
      </c>
      <c r="V13" s="2">
        <f t="shared" si="0"/>
        <v>3</v>
      </c>
    </row>
    <row r="14" spans="1:31" x14ac:dyDescent="0.25">
      <c r="A14" s="2">
        <v>2013</v>
      </c>
      <c r="B14" s="2" t="s">
        <v>74</v>
      </c>
      <c r="C14" s="2" t="s">
        <v>75</v>
      </c>
      <c r="D14" s="2" t="s">
        <v>22</v>
      </c>
      <c r="E14" s="2" t="s">
        <v>23</v>
      </c>
      <c r="F14" s="2" t="s">
        <v>48</v>
      </c>
      <c r="G14" s="2" t="s">
        <v>66</v>
      </c>
      <c r="H14" s="2" t="s">
        <v>36</v>
      </c>
      <c r="I14" s="2">
        <v>2</v>
      </c>
      <c r="J14" s="2">
        <v>21265</v>
      </c>
      <c r="K14" s="2">
        <v>3011.83</v>
      </c>
      <c r="L14" s="2">
        <v>4253</v>
      </c>
      <c r="M14" s="2">
        <v>435</v>
      </c>
      <c r="N14" s="2">
        <v>44206.17</v>
      </c>
      <c r="O14" s="2" t="s">
        <v>43</v>
      </c>
      <c r="P14" s="2">
        <v>6222</v>
      </c>
      <c r="Q14" s="2" t="s">
        <v>63</v>
      </c>
      <c r="R14" s="2" t="s">
        <v>44</v>
      </c>
      <c r="S14" s="2">
        <v>8</v>
      </c>
      <c r="T14" s="2">
        <v>1</v>
      </c>
      <c r="U14" s="2" t="str" cm="1">
        <f t="array" ref="U14">_xlfn.IFS(N14&gt;200000,"PEAK SALES",N14&gt;100000,"GOOD SALES",N14&gt;50000,"AVERAGE SALES",N14&lt;50000,"PROFIT",N14&lt;10000,"LOSS")</f>
        <v>PROFIT</v>
      </c>
      <c r="V14" s="2">
        <f t="shared" si="0"/>
        <v>3</v>
      </c>
    </row>
    <row r="15" spans="1:31" x14ac:dyDescent="0.25">
      <c r="A15" s="2">
        <v>2014</v>
      </c>
      <c r="B15" s="2" t="s">
        <v>76</v>
      </c>
      <c r="C15" s="2" t="s">
        <v>58</v>
      </c>
      <c r="D15" s="2" t="s">
        <v>73</v>
      </c>
      <c r="E15" s="2" t="s">
        <v>47</v>
      </c>
      <c r="F15" s="2" t="s">
        <v>48</v>
      </c>
      <c r="G15" s="2" t="s">
        <v>77</v>
      </c>
      <c r="H15" s="2" t="s">
        <v>26</v>
      </c>
      <c r="I15" s="2">
        <v>4</v>
      </c>
      <c r="J15" s="2">
        <v>7802</v>
      </c>
      <c r="K15" s="2">
        <v>5071.6400000000003</v>
      </c>
      <c r="L15" s="2">
        <v>3120.8</v>
      </c>
      <c r="M15" s="2">
        <v>301</v>
      </c>
      <c r="N15" s="2">
        <v>29558.16</v>
      </c>
      <c r="O15" s="2" t="s">
        <v>62</v>
      </c>
      <c r="P15" s="2">
        <v>3200</v>
      </c>
      <c r="Q15" s="2" t="s">
        <v>28</v>
      </c>
      <c r="R15" s="2" t="s">
        <v>29</v>
      </c>
      <c r="S15" s="2">
        <v>10</v>
      </c>
      <c r="T15" s="2">
        <v>5</v>
      </c>
      <c r="U15" s="2" t="str" cm="1">
        <f t="array" ref="U15">_xlfn.IFS(N15&gt;200000,"PEAK SALES",N15&gt;100000,"GOOD SALES",N15&gt;50000,"AVERAGE SALES",N15&lt;50000,"PROFIT",N15&lt;10000,"LOSS")</f>
        <v>PROFIT</v>
      </c>
      <c r="V15" s="2">
        <f t="shared" si="0"/>
        <v>1</v>
      </c>
    </row>
    <row r="16" spans="1:31" x14ac:dyDescent="0.25">
      <c r="A16" s="2">
        <v>2015</v>
      </c>
      <c r="B16" s="2" t="s">
        <v>78</v>
      </c>
      <c r="C16" s="2" t="s">
        <v>46</v>
      </c>
      <c r="D16" s="2" t="s">
        <v>59</v>
      </c>
      <c r="E16" s="2" t="s">
        <v>79</v>
      </c>
      <c r="F16" s="2" t="s">
        <v>34</v>
      </c>
      <c r="G16" s="2" t="s">
        <v>80</v>
      </c>
      <c r="H16" s="2" t="s">
        <v>36</v>
      </c>
      <c r="I16" s="2">
        <v>4</v>
      </c>
      <c r="J16" s="2">
        <v>19250</v>
      </c>
      <c r="K16" s="2">
        <v>10730.67</v>
      </c>
      <c r="L16" s="2">
        <v>7700</v>
      </c>
      <c r="M16" s="2">
        <v>449</v>
      </c>
      <c r="N16" s="2">
        <v>74418.33</v>
      </c>
      <c r="O16" s="2" t="s">
        <v>43</v>
      </c>
      <c r="P16" s="2">
        <v>11140</v>
      </c>
      <c r="Q16" s="2" t="s">
        <v>28</v>
      </c>
      <c r="R16" s="2" t="s">
        <v>29</v>
      </c>
      <c r="S16" s="2">
        <v>7</v>
      </c>
      <c r="T16" s="2">
        <v>1</v>
      </c>
      <c r="U16" s="2" t="str" cm="1">
        <f t="array" ref="U16">_xlfn.IFS(N16&gt;200000,"PEAK SALES",N16&gt;100000,"GOOD SALES",N16&gt;50000,"AVERAGE SALES",N16&lt;50000,"PROFIT",N16&lt;10000,"LOSS")</f>
        <v>AVERAGE SALES</v>
      </c>
      <c r="V16" s="2">
        <f t="shared" si="0"/>
        <v>3</v>
      </c>
    </row>
    <row r="17" spans="1:22" x14ac:dyDescent="0.25">
      <c r="A17" s="2">
        <v>2016</v>
      </c>
      <c r="B17" s="2" t="s">
        <v>81</v>
      </c>
      <c r="C17" s="2" t="s">
        <v>39</v>
      </c>
      <c r="D17" s="2" t="s">
        <v>32</v>
      </c>
      <c r="E17" s="2" t="s">
        <v>40</v>
      </c>
      <c r="F17" s="2" t="s">
        <v>24</v>
      </c>
      <c r="G17" s="2" t="s">
        <v>69</v>
      </c>
      <c r="H17" s="2" t="s">
        <v>26</v>
      </c>
      <c r="I17" s="2">
        <v>2</v>
      </c>
      <c r="J17" s="2">
        <v>13714</v>
      </c>
      <c r="K17" s="2">
        <v>2985.08</v>
      </c>
      <c r="L17" s="2">
        <v>2742.8</v>
      </c>
      <c r="M17" s="2">
        <v>175</v>
      </c>
      <c r="N17" s="2">
        <v>27360.720000000001</v>
      </c>
      <c r="O17" s="2" t="s">
        <v>62</v>
      </c>
      <c r="P17" s="2">
        <v>3246</v>
      </c>
      <c r="Q17" s="2" t="s">
        <v>28</v>
      </c>
      <c r="R17" s="2" t="s">
        <v>37</v>
      </c>
      <c r="S17" s="2">
        <v>10</v>
      </c>
      <c r="T17" s="2">
        <v>2</v>
      </c>
      <c r="U17" s="2" t="str" cm="1">
        <f t="array" ref="U17">_xlfn.IFS(N17&gt;200000,"PEAK SALES",N17&gt;100000,"GOOD SALES",N17&gt;50000,"AVERAGE SALES",N17&lt;50000,"PROFIT",N17&lt;10000,"LOSS")</f>
        <v>PROFIT</v>
      </c>
      <c r="V17" s="2">
        <f t="shared" si="0"/>
        <v>4</v>
      </c>
    </row>
    <row r="18" spans="1:22" x14ac:dyDescent="0.25">
      <c r="A18" s="2">
        <v>2017</v>
      </c>
      <c r="B18" s="2" t="s">
        <v>82</v>
      </c>
      <c r="C18" s="2" t="s">
        <v>75</v>
      </c>
      <c r="D18" s="2" t="s">
        <v>59</v>
      </c>
      <c r="E18" s="2" t="s">
        <v>40</v>
      </c>
      <c r="F18" s="2" t="s">
        <v>34</v>
      </c>
      <c r="G18" s="2" t="s">
        <v>41</v>
      </c>
      <c r="H18" s="2" t="s">
        <v>42</v>
      </c>
      <c r="I18" s="2">
        <v>4</v>
      </c>
      <c r="J18" s="2">
        <v>45694</v>
      </c>
      <c r="K18" s="2">
        <v>10600.93</v>
      </c>
      <c r="L18" s="2">
        <v>18277.599999999999</v>
      </c>
      <c r="M18" s="2">
        <v>461</v>
      </c>
      <c r="N18" s="2">
        <v>190913.67</v>
      </c>
      <c r="O18" s="2" t="s">
        <v>43</v>
      </c>
      <c r="P18" s="2">
        <v>49794</v>
      </c>
      <c r="Q18" s="2" t="s">
        <v>28</v>
      </c>
      <c r="R18" s="2" t="s">
        <v>44</v>
      </c>
      <c r="S18" s="2">
        <v>4</v>
      </c>
      <c r="T18" s="2">
        <v>1</v>
      </c>
      <c r="U18" s="2" t="str" cm="1">
        <f t="array" ref="U18">_xlfn.IFS(N18&gt;200000,"PEAK SALES",N18&gt;100000,"GOOD SALES",N18&gt;50000,"AVERAGE SALES",N18&lt;50000,"PROFIT",N18&lt;10000,"LOSS")</f>
        <v>GOOD SALES</v>
      </c>
      <c r="V18" s="2">
        <f t="shared" si="0"/>
        <v>4</v>
      </c>
    </row>
    <row r="19" spans="1:22" x14ac:dyDescent="0.25">
      <c r="A19" s="2">
        <v>2018</v>
      </c>
      <c r="B19" s="2" t="s">
        <v>83</v>
      </c>
      <c r="C19" s="2" t="s">
        <v>72</v>
      </c>
      <c r="D19" s="2" t="s">
        <v>32</v>
      </c>
      <c r="E19" s="2" t="s">
        <v>47</v>
      </c>
      <c r="F19" s="2" t="s">
        <v>24</v>
      </c>
      <c r="G19" s="2" t="s">
        <v>25</v>
      </c>
      <c r="H19" s="2" t="s">
        <v>26</v>
      </c>
      <c r="I19" s="2">
        <v>4</v>
      </c>
      <c r="J19" s="2">
        <v>48543</v>
      </c>
      <c r="K19" s="2">
        <v>34866.410000000003</v>
      </c>
      <c r="L19" s="2">
        <v>19417.2</v>
      </c>
      <c r="M19" s="2">
        <v>484</v>
      </c>
      <c r="N19" s="2">
        <v>179206.79</v>
      </c>
      <c r="O19" s="2" t="s">
        <v>43</v>
      </c>
      <c r="P19" s="2">
        <v>36053</v>
      </c>
      <c r="Q19" s="2" t="s">
        <v>63</v>
      </c>
      <c r="R19" s="2" t="s">
        <v>29</v>
      </c>
      <c r="S19" s="2">
        <v>5</v>
      </c>
      <c r="T19" s="2">
        <v>5</v>
      </c>
      <c r="U19" s="2" t="str" cm="1">
        <f t="array" ref="U19">_xlfn.IFS(N19&gt;200000,"PEAK SALES",N19&gt;100000,"GOOD SALES",N19&gt;50000,"AVERAGE SALES",N19&lt;50000,"PROFIT",N19&lt;10000,"LOSS")</f>
        <v>GOOD SALES</v>
      </c>
      <c r="V19" s="2">
        <f t="shared" si="0"/>
        <v>1</v>
      </c>
    </row>
    <row r="20" spans="1:22" x14ac:dyDescent="0.25">
      <c r="A20" s="2">
        <v>2019</v>
      </c>
      <c r="B20" s="2" t="s">
        <v>84</v>
      </c>
      <c r="C20" s="2" t="s">
        <v>65</v>
      </c>
      <c r="D20" s="2" t="s">
        <v>73</v>
      </c>
      <c r="E20" s="2" t="s">
        <v>47</v>
      </c>
      <c r="F20" s="2" t="s">
        <v>48</v>
      </c>
      <c r="G20" s="2" t="s">
        <v>66</v>
      </c>
      <c r="H20" s="2" t="s">
        <v>61</v>
      </c>
      <c r="I20" s="2">
        <v>5</v>
      </c>
      <c r="J20" s="2">
        <v>13956</v>
      </c>
      <c r="K20" s="2">
        <v>12207.47</v>
      </c>
      <c r="L20" s="2">
        <v>6978</v>
      </c>
      <c r="M20" s="2">
        <v>85</v>
      </c>
      <c r="N20" s="2">
        <v>64635.53</v>
      </c>
      <c r="O20" s="2" t="s">
        <v>50</v>
      </c>
      <c r="P20" s="2">
        <v>7452</v>
      </c>
      <c r="Q20" s="2" t="s">
        <v>52</v>
      </c>
      <c r="R20" s="2" t="s">
        <v>44</v>
      </c>
      <c r="S20" s="2">
        <v>5</v>
      </c>
      <c r="T20" s="2">
        <v>5</v>
      </c>
      <c r="U20" s="2" t="str" cm="1">
        <f t="array" ref="U20">_xlfn.IFS(N20&gt;200000,"PEAK SALES",N20&gt;100000,"GOOD SALES",N20&gt;50000,"AVERAGE SALES",N20&lt;50000,"PROFIT",N20&lt;10000,"LOSS")</f>
        <v>AVERAGE SALES</v>
      </c>
      <c r="V20" s="2">
        <f t="shared" si="0"/>
        <v>2</v>
      </c>
    </row>
    <row r="21" spans="1:22" x14ac:dyDescent="0.25">
      <c r="A21" s="2">
        <v>2020</v>
      </c>
      <c r="B21" s="2" t="s">
        <v>85</v>
      </c>
      <c r="C21" s="2" t="s">
        <v>72</v>
      </c>
      <c r="D21" s="2" t="s">
        <v>22</v>
      </c>
      <c r="E21" s="2" t="s">
        <v>79</v>
      </c>
      <c r="F21" s="2" t="s">
        <v>48</v>
      </c>
      <c r="G21" s="2" t="s">
        <v>49</v>
      </c>
      <c r="H21" s="2" t="s">
        <v>36</v>
      </c>
      <c r="I21" s="2">
        <v>1</v>
      </c>
      <c r="J21" s="2">
        <v>49933</v>
      </c>
      <c r="K21" s="2">
        <v>5309.96</v>
      </c>
      <c r="L21" s="2">
        <v>4993.3</v>
      </c>
      <c r="M21" s="2">
        <v>71</v>
      </c>
      <c r="N21" s="2">
        <v>49687.34</v>
      </c>
      <c r="O21" s="2" t="s">
        <v>62</v>
      </c>
      <c r="P21" s="2">
        <v>12732</v>
      </c>
      <c r="Q21" s="2" t="s">
        <v>28</v>
      </c>
      <c r="R21" s="2" t="s">
        <v>44</v>
      </c>
      <c r="S21" s="2">
        <v>10</v>
      </c>
      <c r="T21" s="2">
        <v>1</v>
      </c>
      <c r="U21" s="2" t="str" cm="1">
        <f t="array" ref="U21">_xlfn.IFS(N21&gt;200000,"PEAK SALES",N21&gt;100000,"GOOD SALES",N21&gt;50000,"AVERAGE SALES",N21&lt;50000,"PROFIT",N21&lt;10000,"LOSS")</f>
        <v>PROFIT</v>
      </c>
      <c r="V21" s="2">
        <f t="shared" si="0"/>
        <v>1</v>
      </c>
    </row>
    <row r="22" spans="1:22" x14ac:dyDescent="0.25">
      <c r="A22" s="2">
        <v>2021</v>
      </c>
      <c r="B22" s="2" t="s">
        <v>86</v>
      </c>
      <c r="C22" s="2" t="s">
        <v>87</v>
      </c>
      <c r="D22" s="2" t="s">
        <v>32</v>
      </c>
      <c r="E22" s="2" t="s">
        <v>56</v>
      </c>
      <c r="F22" s="2" t="s">
        <v>48</v>
      </c>
      <c r="G22" s="2" t="s">
        <v>66</v>
      </c>
      <c r="H22" s="2" t="s">
        <v>36</v>
      </c>
      <c r="I22" s="2">
        <v>4</v>
      </c>
      <c r="J22" s="2">
        <v>30158</v>
      </c>
      <c r="K22" s="2">
        <v>19638.150000000001</v>
      </c>
      <c r="L22" s="2">
        <v>12063.2</v>
      </c>
      <c r="M22" s="2">
        <v>300</v>
      </c>
      <c r="N22" s="2">
        <v>113357.05</v>
      </c>
      <c r="O22" s="2" t="s">
        <v>43</v>
      </c>
      <c r="P22" s="2">
        <v>23769</v>
      </c>
      <c r="Q22" s="2" t="s">
        <v>52</v>
      </c>
      <c r="R22" s="2" t="s">
        <v>29</v>
      </c>
      <c r="S22" s="2">
        <v>3</v>
      </c>
      <c r="T22" s="2">
        <v>3</v>
      </c>
      <c r="U22" s="2" t="str" cm="1">
        <f t="array" ref="U22">_xlfn.IFS(N22&gt;200000,"PEAK SALES",N22&gt;100000,"GOOD SALES",N22&gt;50000,"AVERAGE SALES",N22&lt;50000,"PROFIT",N22&lt;10000,"LOSS")</f>
        <v>GOOD SALES</v>
      </c>
      <c r="V22" s="2">
        <f t="shared" si="0"/>
        <v>3</v>
      </c>
    </row>
    <row r="23" spans="1:22" x14ac:dyDescent="0.25">
      <c r="A23" s="2">
        <v>2022</v>
      </c>
      <c r="B23" s="2" t="s">
        <v>38</v>
      </c>
      <c r="C23" s="2" t="s">
        <v>21</v>
      </c>
      <c r="D23" s="2" t="s">
        <v>32</v>
      </c>
      <c r="E23" s="2" t="s">
        <v>56</v>
      </c>
      <c r="F23" s="2" t="s">
        <v>24</v>
      </c>
      <c r="G23" s="2" t="s">
        <v>69</v>
      </c>
      <c r="H23" s="2" t="s">
        <v>26</v>
      </c>
      <c r="I23" s="2">
        <v>3</v>
      </c>
      <c r="J23" s="2">
        <v>26404</v>
      </c>
      <c r="K23" s="2">
        <v>9125.2099999999991</v>
      </c>
      <c r="L23" s="2">
        <v>7921.2</v>
      </c>
      <c r="M23" s="2">
        <v>107</v>
      </c>
      <c r="N23" s="2">
        <v>78114.990000000005</v>
      </c>
      <c r="O23" s="2" t="s">
        <v>62</v>
      </c>
      <c r="P23" s="2">
        <v>7987</v>
      </c>
      <c r="Q23" s="2" t="s">
        <v>28</v>
      </c>
      <c r="R23" s="2" t="s">
        <v>29</v>
      </c>
      <c r="S23" s="2">
        <v>5</v>
      </c>
      <c r="T23" s="2">
        <v>1</v>
      </c>
      <c r="U23" s="2" t="str" cm="1">
        <f t="array" ref="U23">_xlfn.IFS(N23&gt;200000,"PEAK SALES",N23&gt;100000,"GOOD SALES",N23&gt;50000,"AVERAGE SALES",N23&lt;50000,"PROFIT",N23&lt;10000,"LOSS")</f>
        <v>AVERAGE SALES</v>
      </c>
      <c r="V23" s="2">
        <f t="shared" si="0"/>
        <v>3</v>
      </c>
    </row>
    <row r="24" spans="1:22" x14ac:dyDescent="0.25">
      <c r="A24" s="2">
        <v>2023</v>
      </c>
      <c r="B24" s="2" t="s">
        <v>88</v>
      </c>
      <c r="C24" s="2" t="s">
        <v>58</v>
      </c>
      <c r="D24" s="2" t="s">
        <v>22</v>
      </c>
      <c r="E24" s="2" t="s">
        <v>54</v>
      </c>
      <c r="F24" s="2" t="s">
        <v>34</v>
      </c>
      <c r="G24" s="2" t="s">
        <v>60</v>
      </c>
      <c r="H24" s="2" t="s">
        <v>36</v>
      </c>
      <c r="I24" s="2">
        <v>5</v>
      </c>
      <c r="J24" s="2">
        <v>44971</v>
      </c>
      <c r="K24" s="2">
        <v>11854.29</v>
      </c>
      <c r="L24" s="2">
        <v>22485.5</v>
      </c>
      <c r="M24" s="2">
        <v>271</v>
      </c>
      <c r="N24" s="2">
        <v>235757.21</v>
      </c>
      <c r="O24" s="2" t="s">
        <v>27</v>
      </c>
      <c r="P24" s="2">
        <v>34052</v>
      </c>
      <c r="Q24" s="2" t="s">
        <v>28</v>
      </c>
      <c r="R24" s="2" t="s">
        <v>29</v>
      </c>
      <c r="S24" s="2">
        <v>10</v>
      </c>
      <c r="T24" s="2">
        <v>1</v>
      </c>
      <c r="U24" s="2" t="str" cm="1">
        <f t="array" ref="U24">_xlfn.IFS(N24&gt;200000,"PEAK SALES",N24&gt;100000,"GOOD SALES",N24&gt;50000,"AVERAGE SALES",N24&lt;50000,"PROFIT",N24&lt;10000,"LOSS")</f>
        <v>PEAK SALES</v>
      </c>
      <c r="V24" s="2">
        <f t="shared" si="0"/>
        <v>3</v>
      </c>
    </row>
    <row r="25" spans="1:22" x14ac:dyDescent="0.25">
      <c r="A25" s="2">
        <v>2024</v>
      </c>
      <c r="B25" s="2" t="s">
        <v>83</v>
      </c>
      <c r="C25" s="2" t="s">
        <v>46</v>
      </c>
      <c r="D25" s="2" t="s">
        <v>73</v>
      </c>
      <c r="E25" s="2" t="s">
        <v>33</v>
      </c>
      <c r="F25" s="2" t="s">
        <v>48</v>
      </c>
      <c r="G25" s="2" t="s">
        <v>66</v>
      </c>
      <c r="H25" s="2" t="s">
        <v>61</v>
      </c>
      <c r="I25" s="2">
        <v>5</v>
      </c>
      <c r="J25" s="2">
        <v>39984</v>
      </c>
      <c r="K25" s="2">
        <v>24034.18</v>
      </c>
      <c r="L25" s="2">
        <v>19992</v>
      </c>
      <c r="M25" s="2">
        <v>188</v>
      </c>
      <c r="N25" s="2">
        <v>196065.82</v>
      </c>
      <c r="O25" s="2" t="s">
        <v>43</v>
      </c>
      <c r="P25" s="2">
        <v>52406</v>
      </c>
      <c r="Q25" s="2" t="s">
        <v>63</v>
      </c>
      <c r="R25" s="2" t="s">
        <v>37</v>
      </c>
      <c r="S25" s="2">
        <v>3</v>
      </c>
      <c r="T25" s="2">
        <v>4</v>
      </c>
      <c r="U25" s="2" t="str" cm="1">
        <f t="array" ref="U25">_xlfn.IFS(N25&gt;200000,"PEAK SALES",N25&gt;100000,"GOOD SALES",N25&gt;50000,"AVERAGE SALES",N25&lt;50000,"PROFIT",N25&lt;10000,"LOSS")</f>
        <v>GOOD SALES</v>
      </c>
      <c r="V25" s="2">
        <f t="shared" si="0"/>
        <v>1</v>
      </c>
    </row>
    <row r="26" spans="1:22" x14ac:dyDescent="0.25">
      <c r="A26" s="2">
        <v>2025</v>
      </c>
      <c r="B26" s="2" t="s">
        <v>89</v>
      </c>
      <c r="C26" s="2" t="s">
        <v>68</v>
      </c>
      <c r="D26" s="2" t="s">
        <v>22</v>
      </c>
      <c r="E26" s="2" t="s">
        <v>33</v>
      </c>
      <c r="F26" s="2" t="s">
        <v>24</v>
      </c>
      <c r="G26" s="2" t="s">
        <v>69</v>
      </c>
      <c r="H26" s="2" t="s">
        <v>26</v>
      </c>
      <c r="I26" s="2">
        <v>2</v>
      </c>
      <c r="J26" s="2">
        <v>57149</v>
      </c>
      <c r="K26" s="2">
        <v>18669.5</v>
      </c>
      <c r="L26" s="2">
        <v>11429.8</v>
      </c>
      <c r="M26" s="2">
        <v>288</v>
      </c>
      <c r="N26" s="2">
        <v>107346.3</v>
      </c>
      <c r="O26" s="2" t="s">
        <v>27</v>
      </c>
      <c r="P26" s="2">
        <v>22316</v>
      </c>
      <c r="Q26" s="2" t="s">
        <v>28</v>
      </c>
      <c r="R26" s="2" t="s">
        <v>29</v>
      </c>
      <c r="S26" s="2">
        <v>9</v>
      </c>
      <c r="T26" s="2">
        <v>2</v>
      </c>
      <c r="U26" s="2" t="str" cm="1">
        <f t="array" ref="U26">_xlfn.IFS(N26&gt;200000,"PEAK SALES",N26&gt;100000,"GOOD SALES",N26&gt;50000,"AVERAGE SALES",N26&lt;50000,"PROFIT",N26&lt;10000,"LOSS")</f>
        <v>GOOD SALES</v>
      </c>
      <c r="V26" s="2">
        <f t="shared" si="0"/>
        <v>1</v>
      </c>
    </row>
    <row r="27" spans="1:22" x14ac:dyDescent="0.25">
      <c r="A27" s="2">
        <v>2026</v>
      </c>
      <c r="B27" s="2" t="s">
        <v>90</v>
      </c>
      <c r="C27" s="2" t="s">
        <v>75</v>
      </c>
      <c r="D27" s="2" t="s">
        <v>59</v>
      </c>
      <c r="E27" s="2" t="s">
        <v>33</v>
      </c>
      <c r="F27" s="2" t="s">
        <v>34</v>
      </c>
      <c r="G27" s="2" t="s">
        <v>80</v>
      </c>
      <c r="H27" s="2" t="s">
        <v>61</v>
      </c>
      <c r="I27" s="2">
        <v>2</v>
      </c>
      <c r="J27" s="2">
        <v>51491</v>
      </c>
      <c r="K27" s="2">
        <v>20410.09</v>
      </c>
      <c r="L27" s="2">
        <v>10298.200000000001</v>
      </c>
      <c r="M27" s="2">
        <v>62</v>
      </c>
      <c r="N27" s="2">
        <v>92932.11</v>
      </c>
      <c r="O27" s="2" t="s">
        <v>50</v>
      </c>
      <c r="P27" s="2">
        <v>10117</v>
      </c>
      <c r="Q27" s="2" t="s">
        <v>52</v>
      </c>
      <c r="R27" s="2" t="s">
        <v>44</v>
      </c>
      <c r="S27" s="2">
        <v>7</v>
      </c>
      <c r="T27" s="2">
        <v>5</v>
      </c>
      <c r="U27" s="2" t="str" cm="1">
        <f t="array" ref="U27">_xlfn.IFS(N27&gt;200000,"PEAK SALES",N27&gt;100000,"GOOD SALES",N27&gt;50000,"AVERAGE SALES",N27&lt;50000,"PROFIT",N27&lt;10000,"LOSS")</f>
        <v>AVERAGE SALES</v>
      </c>
      <c r="V27" s="2">
        <f t="shared" si="0"/>
        <v>2</v>
      </c>
    </row>
    <row r="28" spans="1:22" x14ac:dyDescent="0.25">
      <c r="A28" s="2">
        <v>2027</v>
      </c>
      <c r="B28" s="2" t="s">
        <v>91</v>
      </c>
      <c r="C28" s="2" t="s">
        <v>75</v>
      </c>
      <c r="D28" s="2" t="s">
        <v>73</v>
      </c>
      <c r="E28" s="2" t="s">
        <v>56</v>
      </c>
      <c r="F28" s="2" t="s">
        <v>24</v>
      </c>
      <c r="G28" s="2" t="s">
        <v>25</v>
      </c>
      <c r="H28" s="2" t="s">
        <v>36</v>
      </c>
      <c r="I28" s="2">
        <v>5</v>
      </c>
      <c r="J28" s="2">
        <v>37659</v>
      </c>
      <c r="K28" s="2">
        <v>37023.07</v>
      </c>
      <c r="L28" s="2">
        <v>18829.5</v>
      </c>
      <c r="M28" s="2">
        <v>72</v>
      </c>
      <c r="N28" s="2">
        <v>170173.43</v>
      </c>
      <c r="O28" s="2" t="s">
        <v>62</v>
      </c>
      <c r="P28" s="2">
        <v>17783</v>
      </c>
      <c r="Q28" s="2" t="s">
        <v>63</v>
      </c>
      <c r="R28" s="2" t="s">
        <v>37</v>
      </c>
      <c r="S28" s="2">
        <v>5</v>
      </c>
      <c r="T28" s="2">
        <v>4</v>
      </c>
      <c r="U28" s="2" t="str" cm="1">
        <f t="array" ref="U28">_xlfn.IFS(N28&gt;200000,"PEAK SALES",N28&gt;100000,"GOOD SALES",N28&gt;50000,"AVERAGE SALES",N28&lt;50000,"PROFIT",N28&lt;10000,"LOSS")</f>
        <v>GOOD SALES</v>
      </c>
      <c r="V28" s="2">
        <f t="shared" si="0"/>
        <v>2</v>
      </c>
    </row>
    <row r="29" spans="1:22" x14ac:dyDescent="0.25">
      <c r="A29" s="2">
        <v>2028</v>
      </c>
      <c r="B29" s="2" t="s">
        <v>92</v>
      </c>
      <c r="C29" s="2" t="s">
        <v>68</v>
      </c>
      <c r="D29" s="2" t="s">
        <v>32</v>
      </c>
      <c r="E29" s="2" t="s">
        <v>40</v>
      </c>
      <c r="F29" s="2" t="s">
        <v>24</v>
      </c>
      <c r="G29" s="2" t="s">
        <v>69</v>
      </c>
      <c r="H29" s="2" t="s">
        <v>42</v>
      </c>
      <c r="I29" s="2">
        <v>5</v>
      </c>
      <c r="J29" s="2">
        <v>21744</v>
      </c>
      <c r="K29" s="2">
        <v>12189.97</v>
      </c>
      <c r="L29" s="2">
        <v>10872</v>
      </c>
      <c r="M29" s="2">
        <v>298</v>
      </c>
      <c r="N29" s="2">
        <v>107700.03</v>
      </c>
      <c r="O29" s="2" t="s">
        <v>27</v>
      </c>
      <c r="P29" s="2">
        <v>27195</v>
      </c>
      <c r="Q29" s="2" t="s">
        <v>63</v>
      </c>
      <c r="R29" s="2" t="s">
        <v>29</v>
      </c>
      <c r="S29" s="2">
        <v>3</v>
      </c>
      <c r="T29" s="2">
        <v>5</v>
      </c>
      <c r="U29" s="2" t="str" cm="1">
        <f t="array" ref="U29">_xlfn.IFS(N29&gt;200000,"PEAK SALES",N29&gt;100000,"GOOD SALES",N29&gt;50000,"AVERAGE SALES",N29&lt;50000,"PROFIT",N29&lt;10000,"LOSS")</f>
        <v>GOOD SALES</v>
      </c>
      <c r="V29" s="2">
        <f t="shared" si="0"/>
        <v>1</v>
      </c>
    </row>
    <row r="30" spans="1:22" x14ac:dyDescent="0.25">
      <c r="A30" s="2">
        <v>2029</v>
      </c>
      <c r="B30" s="2" t="s">
        <v>93</v>
      </c>
      <c r="C30" s="2" t="s">
        <v>31</v>
      </c>
      <c r="D30" s="2" t="s">
        <v>32</v>
      </c>
      <c r="E30" s="2" t="s">
        <v>23</v>
      </c>
      <c r="F30" s="2" t="s">
        <v>24</v>
      </c>
      <c r="G30" s="2" t="s">
        <v>94</v>
      </c>
      <c r="H30" s="2" t="s">
        <v>26</v>
      </c>
      <c r="I30" s="2">
        <v>3</v>
      </c>
      <c r="J30" s="2">
        <v>46831</v>
      </c>
      <c r="K30" s="2">
        <v>26146.16</v>
      </c>
      <c r="L30" s="2">
        <v>14049.3</v>
      </c>
      <c r="M30" s="2">
        <v>246</v>
      </c>
      <c r="N30" s="2">
        <v>128642.14</v>
      </c>
      <c r="O30" s="2" t="s">
        <v>43</v>
      </c>
      <c r="P30" s="2">
        <v>30371</v>
      </c>
      <c r="Q30" s="2" t="s">
        <v>63</v>
      </c>
      <c r="R30" s="2" t="s">
        <v>44</v>
      </c>
      <c r="S30" s="2">
        <v>7</v>
      </c>
      <c r="T30" s="2">
        <v>3</v>
      </c>
      <c r="U30" s="2" t="str" cm="1">
        <f t="array" ref="U30">_xlfn.IFS(N30&gt;200000,"PEAK SALES",N30&gt;100000,"GOOD SALES",N30&gt;50000,"AVERAGE SALES",N30&lt;50000,"PROFIT",N30&lt;10000,"LOSS")</f>
        <v>GOOD SALES</v>
      </c>
      <c r="V30" s="2">
        <f t="shared" si="0"/>
        <v>4</v>
      </c>
    </row>
    <row r="31" spans="1:22" x14ac:dyDescent="0.25">
      <c r="A31" s="2">
        <v>2030</v>
      </c>
      <c r="B31" s="2" t="s">
        <v>53</v>
      </c>
      <c r="C31" s="2" t="s">
        <v>68</v>
      </c>
      <c r="D31" s="2" t="s">
        <v>32</v>
      </c>
      <c r="E31" s="2" t="s">
        <v>54</v>
      </c>
      <c r="F31" s="2" t="s">
        <v>24</v>
      </c>
      <c r="G31" s="2" t="s">
        <v>94</v>
      </c>
      <c r="H31" s="2" t="s">
        <v>36</v>
      </c>
      <c r="I31" s="2">
        <v>2</v>
      </c>
      <c r="J31" s="2">
        <v>17491</v>
      </c>
      <c r="K31" s="2">
        <v>6705.09</v>
      </c>
      <c r="L31" s="2">
        <v>3498.2</v>
      </c>
      <c r="M31" s="2">
        <v>72</v>
      </c>
      <c r="N31" s="2">
        <v>31847.11</v>
      </c>
      <c r="O31" s="2" t="s">
        <v>43</v>
      </c>
      <c r="P31" s="2">
        <v>6117</v>
      </c>
      <c r="Q31" s="2" t="s">
        <v>63</v>
      </c>
      <c r="R31" s="2" t="s">
        <v>37</v>
      </c>
      <c r="S31" s="2">
        <v>5</v>
      </c>
      <c r="T31" s="2">
        <v>1</v>
      </c>
      <c r="U31" s="2" t="str" cm="1">
        <f t="array" ref="U31">_xlfn.IFS(N31&gt;200000,"PEAK SALES",N31&gt;100000,"GOOD SALES",N31&gt;50000,"AVERAGE SALES",N31&lt;50000,"PROFIT",N31&lt;10000,"LOSS")</f>
        <v>PROFIT</v>
      </c>
      <c r="V31" s="2">
        <f t="shared" si="0"/>
        <v>1</v>
      </c>
    </row>
    <row r="32" spans="1:22" x14ac:dyDescent="0.25">
      <c r="A32" s="2">
        <v>2031</v>
      </c>
      <c r="B32" s="2" t="s">
        <v>95</v>
      </c>
      <c r="C32" s="2" t="s">
        <v>31</v>
      </c>
      <c r="D32" s="2" t="s">
        <v>73</v>
      </c>
      <c r="E32" s="2" t="s">
        <v>33</v>
      </c>
      <c r="F32" s="2" t="s">
        <v>34</v>
      </c>
      <c r="G32" s="2" t="s">
        <v>35</v>
      </c>
      <c r="H32" s="2" t="s">
        <v>36</v>
      </c>
      <c r="I32" s="2">
        <v>5</v>
      </c>
      <c r="J32" s="2">
        <v>11737</v>
      </c>
      <c r="K32" s="2">
        <v>3306.29</v>
      </c>
      <c r="L32" s="2">
        <v>5868.5</v>
      </c>
      <c r="M32" s="2">
        <v>101</v>
      </c>
      <c r="N32" s="2">
        <v>61348.21</v>
      </c>
      <c r="O32" s="2" t="s">
        <v>62</v>
      </c>
      <c r="P32" s="2">
        <v>10697</v>
      </c>
      <c r="Q32" s="2" t="s">
        <v>28</v>
      </c>
      <c r="R32" s="2" t="s">
        <v>29</v>
      </c>
      <c r="S32" s="2">
        <v>10</v>
      </c>
      <c r="T32" s="2">
        <v>5</v>
      </c>
      <c r="U32" s="2" t="str" cm="1">
        <f t="array" ref="U32">_xlfn.IFS(N32&gt;200000,"PEAK SALES",N32&gt;100000,"GOOD SALES",N32&gt;50000,"AVERAGE SALES",N32&lt;50000,"PROFIT",N32&lt;10000,"LOSS")</f>
        <v>AVERAGE SALES</v>
      </c>
      <c r="V32" s="2">
        <f t="shared" si="0"/>
        <v>4</v>
      </c>
    </row>
    <row r="33" spans="1:22" x14ac:dyDescent="0.25">
      <c r="A33" s="2">
        <v>2032</v>
      </c>
      <c r="B33" s="2" t="s">
        <v>96</v>
      </c>
      <c r="C33" s="2" t="s">
        <v>46</v>
      </c>
      <c r="D33" s="2" t="s">
        <v>73</v>
      </c>
      <c r="E33" s="2" t="s">
        <v>54</v>
      </c>
      <c r="F33" s="2" t="s">
        <v>34</v>
      </c>
      <c r="G33" s="2" t="s">
        <v>35</v>
      </c>
      <c r="H33" s="2" t="s">
        <v>61</v>
      </c>
      <c r="I33" s="2">
        <v>5</v>
      </c>
      <c r="J33" s="2">
        <v>47983</v>
      </c>
      <c r="K33" s="2">
        <v>16992.77</v>
      </c>
      <c r="L33" s="2">
        <v>23991.5</v>
      </c>
      <c r="M33" s="2">
        <v>456</v>
      </c>
      <c r="N33" s="2">
        <v>247369.73</v>
      </c>
      <c r="O33" s="2" t="s">
        <v>27</v>
      </c>
      <c r="P33" s="2">
        <v>69699</v>
      </c>
      <c r="Q33" s="2" t="s">
        <v>52</v>
      </c>
      <c r="R33" s="2" t="s">
        <v>29</v>
      </c>
      <c r="S33" s="2">
        <v>3</v>
      </c>
      <c r="T33" s="2">
        <v>5</v>
      </c>
      <c r="U33" s="2" t="str" cm="1">
        <f t="array" ref="U33">_xlfn.IFS(N33&gt;200000,"PEAK SALES",N33&gt;100000,"GOOD SALES",N33&gt;50000,"AVERAGE SALES",N33&lt;50000,"PROFIT",N33&lt;10000,"LOSS")</f>
        <v>PEAK SALES</v>
      </c>
      <c r="V33" s="2">
        <f t="shared" si="0"/>
        <v>4</v>
      </c>
    </row>
    <row r="34" spans="1:22" x14ac:dyDescent="0.25">
      <c r="A34" s="2">
        <v>2033</v>
      </c>
      <c r="B34" s="2" t="s">
        <v>97</v>
      </c>
      <c r="C34" s="2" t="s">
        <v>58</v>
      </c>
      <c r="D34" s="2" t="s">
        <v>32</v>
      </c>
      <c r="E34" s="2" t="s">
        <v>79</v>
      </c>
      <c r="F34" s="2" t="s">
        <v>48</v>
      </c>
      <c r="G34" s="2" t="s">
        <v>66</v>
      </c>
      <c r="H34" s="2" t="s">
        <v>36</v>
      </c>
      <c r="I34" s="2">
        <v>1</v>
      </c>
      <c r="J34" s="2">
        <v>45942</v>
      </c>
      <c r="K34" s="2">
        <v>7402.4</v>
      </c>
      <c r="L34" s="2">
        <v>4594.2</v>
      </c>
      <c r="M34" s="2">
        <v>258</v>
      </c>
      <c r="N34" s="2">
        <v>43391.8</v>
      </c>
      <c r="O34" s="2" t="s">
        <v>50</v>
      </c>
      <c r="P34" s="2">
        <v>4582</v>
      </c>
      <c r="Q34" s="2" t="s">
        <v>28</v>
      </c>
      <c r="R34" s="2" t="s">
        <v>29</v>
      </c>
      <c r="S34" s="2">
        <v>3</v>
      </c>
      <c r="T34" s="2">
        <v>2</v>
      </c>
      <c r="U34" s="2" t="str" cm="1">
        <f t="array" ref="U34">_xlfn.IFS(N34&gt;200000,"PEAK SALES",N34&gt;100000,"GOOD SALES",N34&gt;50000,"AVERAGE SALES",N34&lt;50000,"PROFIT",N34&lt;10000,"LOSS")</f>
        <v>PROFIT</v>
      </c>
      <c r="V34" s="2">
        <f t="shared" si="0"/>
        <v>4</v>
      </c>
    </row>
    <row r="35" spans="1:22" x14ac:dyDescent="0.25">
      <c r="A35" s="2">
        <v>2034</v>
      </c>
      <c r="B35" s="2" t="s">
        <v>98</v>
      </c>
      <c r="C35" s="2" t="s">
        <v>68</v>
      </c>
      <c r="D35" s="2" t="s">
        <v>59</v>
      </c>
      <c r="E35" s="2" t="s">
        <v>47</v>
      </c>
      <c r="F35" s="2" t="s">
        <v>34</v>
      </c>
      <c r="G35" s="2" t="s">
        <v>80</v>
      </c>
      <c r="H35" s="2" t="s">
        <v>26</v>
      </c>
      <c r="I35" s="2">
        <v>4</v>
      </c>
      <c r="J35" s="2">
        <v>22893</v>
      </c>
      <c r="K35" s="2">
        <v>11749.47</v>
      </c>
      <c r="L35" s="2">
        <v>9157.2000000000007</v>
      </c>
      <c r="M35" s="2">
        <v>297</v>
      </c>
      <c r="N35" s="2">
        <v>89276.73</v>
      </c>
      <c r="O35" s="2" t="s">
        <v>50</v>
      </c>
      <c r="P35" s="2">
        <v>12912</v>
      </c>
      <c r="Q35" s="2" t="s">
        <v>28</v>
      </c>
      <c r="R35" s="2" t="s">
        <v>29</v>
      </c>
      <c r="S35" s="2">
        <v>3</v>
      </c>
      <c r="T35" s="2">
        <v>2</v>
      </c>
      <c r="U35" s="2" t="str" cm="1">
        <f t="array" ref="U35">_xlfn.IFS(N35&gt;200000,"PEAK SALES",N35&gt;100000,"GOOD SALES",N35&gt;50000,"AVERAGE SALES",N35&lt;50000,"PROFIT",N35&lt;10000,"LOSS")</f>
        <v>AVERAGE SALES</v>
      </c>
      <c r="V35" s="2">
        <f t="shared" si="0"/>
        <v>3</v>
      </c>
    </row>
    <row r="36" spans="1:22" x14ac:dyDescent="0.25">
      <c r="A36" s="2">
        <v>2035</v>
      </c>
      <c r="B36" s="2" t="s">
        <v>99</v>
      </c>
      <c r="C36" s="2" t="s">
        <v>72</v>
      </c>
      <c r="D36" s="2" t="s">
        <v>32</v>
      </c>
      <c r="E36" s="2" t="s">
        <v>23</v>
      </c>
      <c r="F36" s="2" t="s">
        <v>24</v>
      </c>
      <c r="G36" s="2" t="s">
        <v>25</v>
      </c>
      <c r="H36" s="2" t="s">
        <v>36</v>
      </c>
      <c r="I36" s="2">
        <v>1</v>
      </c>
      <c r="J36" s="2">
        <v>9585</v>
      </c>
      <c r="K36" s="2">
        <v>923.04</v>
      </c>
      <c r="L36" s="2">
        <v>958.5</v>
      </c>
      <c r="M36" s="2">
        <v>439</v>
      </c>
      <c r="N36" s="2">
        <v>10059.459999999999</v>
      </c>
      <c r="O36" s="2" t="s">
        <v>27</v>
      </c>
      <c r="P36" s="2">
        <v>2704</v>
      </c>
      <c r="Q36" s="2" t="s">
        <v>28</v>
      </c>
      <c r="R36" s="2" t="s">
        <v>44</v>
      </c>
      <c r="S36" s="2">
        <v>9</v>
      </c>
      <c r="T36" s="2">
        <v>4</v>
      </c>
      <c r="U36" s="2" t="str" cm="1">
        <f t="array" ref="U36">_xlfn.IFS(N36&gt;200000,"PEAK SALES",N36&gt;100000,"GOOD SALES",N36&gt;50000,"AVERAGE SALES",N36&lt;50000,"PROFIT",N36&lt;10000,"LOSS")</f>
        <v>PROFIT</v>
      </c>
      <c r="V36" s="2">
        <f t="shared" si="0"/>
        <v>3</v>
      </c>
    </row>
    <row r="37" spans="1:22" x14ac:dyDescent="0.25">
      <c r="A37" s="2">
        <v>2036</v>
      </c>
      <c r="B37" s="2" t="s">
        <v>100</v>
      </c>
      <c r="C37" s="2" t="s">
        <v>39</v>
      </c>
      <c r="D37" s="2" t="s">
        <v>73</v>
      </c>
      <c r="E37" s="2" t="s">
        <v>23</v>
      </c>
      <c r="F37" s="2" t="s">
        <v>34</v>
      </c>
      <c r="G37" s="2" t="s">
        <v>80</v>
      </c>
      <c r="H37" s="2" t="s">
        <v>36</v>
      </c>
      <c r="I37" s="2">
        <v>3</v>
      </c>
      <c r="J37" s="2">
        <v>42998</v>
      </c>
      <c r="K37" s="2">
        <v>9579.7900000000009</v>
      </c>
      <c r="L37" s="2">
        <v>12899.4</v>
      </c>
      <c r="M37" s="2">
        <v>127</v>
      </c>
      <c r="N37" s="2">
        <v>132440.60999999999</v>
      </c>
      <c r="O37" s="2" t="s">
        <v>43</v>
      </c>
      <c r="P37" s="2">
        <v>21732</v>
      </c>
      <c r="Q37" s="2" t="s">
        <v>28</v>
      </c>
      <c r="R37" s="2" t="s">
        <v>37</v>
      </c>
      <c r="S37" s="2">
        <v>1</v>
      </c>
      <c r="T37" s="2">
        <v>2</v>
      </c>
      <c r="U37" s="2" t="str" cm="1">
        <f t="array" ref="U37">_xlfn.IFS(N37&gt;200000,"PEAK SALES",N37&gt;100000,"GOOD SALES",N37&gt;50000,"AVERAGE SALES",N37&lt;50000,"PROFIT",N37&lt;10000,"LOSS")</f>
        <v>GOOD SALES</v>
      </c>
      <c r="V37" s="2">
        <f t="shared" si="0"/>
        <v>2</v>
      </c>
    </row>
    <row r="38" spans="1:22" x14ac:dyDescent="0.25">
      <c r="A38" s="2">
        <v>2037</v>
      </c>
      <c r="B38" s="2" t="s">
        <v>101</v>
      </c>
      <c r="C38" s="2" t="s">
        <v>58</v>
      </c>
      <c r="D38" s="2" t="s">
        <v>73</v>
      </c>
      <c r="E38" s="2" t="s">
        <v>47</v>
      </c>
      <c r="F38" s="2" t="s">
        <v>48</v>
      </c>
      <c r="G38" s="2" t="s">
        <v>66</v>
      </c>
      <c r="H38" s="2" t="s">
        <v>61</v>
      </c>
      <c r="I38" s="2">
        <v>4</v>
      </c>
      <c r="J38" s="2">
        <v>31712</v>
      </c>
      <c r="K38" s="2">
        <v>11946.68</v>
      </c>
      <c r="L38" s="2">
        <v>12684.8</v>
      </c>
      <c r="M38" s="2">
        <v>401</v>
      </c>
      <c r="N38" s="2">
        <v>127987.12</v>
      </c>
      <c r="O38" s="2" t="s">
        <v>62</v>
      </c>
      <c r="P38" s="2">
        <v>25794</v>
      </c>
      <c r="Q38" s="2" t="s">
        <v>63</v>
      </c>
      <c r="R38" s="2" t="s">
        <v>29</v>
      </c>
      <c r="S38" s="2">
        <v>3</v>
      </c>
      <c r="T38" s="2">
        <v>2</v>
      </c>
      <c r="U38" s="2" t="str" cm="1">
        <f t="array" ref="U38">_xlfn.IFS(N38&gt;200000,"PEAK SALES",N38&gt;100000,"GOOD SALES",N38&gt;50000,"AVERAGE SALES",N38&lt;50000,"PROFIT",N38&lt;10000,"LOSS")</f>
        <v>GOOD SALES</v>
      </c>
      <c r="V38" s="2">
        <f t="shared" si="0"/>
        <v>2</v>
      </c>
    </row>
    <row r="39" spans="1:22" x14ac:dyDescent="0.25">
      <c r="A39" s="2">
        <v>2038</v>
      </c>
      <c r="B39" s="2" t="s">
        <v>102</v>
      </c>
      <c r="C39" s="2" t="s">
        <v>39</v>
      </c>
      <c r="D39" s="2" t="s">
        <v>59</v>
      </c>
      <c r="E39" s="2" t="s">
        <v>103</v>
      </c>
      <c r="F39" s="2" t="s">
        <v>34</v>
      </c>
      <c r="G39" s="2" t="s">
        <v>41</v>
      </c>
      <c r="H39" s="2" t="s">
        <v>36</v>
      </c>
      <c r="I39" s="2">
        <v>3</v>
      </c>
      <c r="J39" s="2">
        <v>24202</v>
      </c>
      <c r="K39" s="2">
        <v>13563.36</v>
      </c>
      <c r="L39" s="2">
        <v>7260.6</v>
      </c>
      <c r="M39" s="2">
        <v>373</v>
      </c>
      <c r="N39" s="2">
        <v>66676.240000000005</v>
      </c>
      <c r="O39" s="2" t="s">
        <v>43</v>
      </c>
      <c r="P39" s="2">
        <v>9435</v>
      </c>
      <c r="Q39" s="2" t="s">
        <v>63</v>
      </c>
      <c r="R39" s="2" t="s">
        <v>29</v>
      </c>
      <c r="S39" s="2">
        <v>6</v>
      </c>
      <c r="T39" s="2">
        <v>2</v>
      </c>
      <c r="U39" s="2" t="str" cm="1">
        <f t="array" ref="U39">_xlfn.IFS(N39&gt;200000,"PEAK SALES",N39&gt;100000,"GOOD SALES",N39&gt;50000,"AVERAGE SALES",N39&lt;50000,"PROFIT",N39&lt;10000,"LOSS")</f>
        <v>AVERAGE SALES</v>
      </c>
      <c r="V39" s="2">
        <f t="shared" si="0"/>
        <v>3</v>
      </c>
    </row>
    <row r="40" spans="1:22" x14ac:dyDescent="0.25">
      <c r="A40" s="2">
        <v>2039</v>
      </c>
      <c r="B40" s="2" t="s">
        <v>104</v>
      </c>
      <c r="C40" s="2" t="s">
        <v>65</v>
      </c>
      <c r="D40" s="2" t="s">
        <v>22</v>
      </c>
      <c r="E40" s="2" t="s">
        <v>23</v>
      </c>
      <c r="F40" s="2" t="s">
        <v>34</v>
      </c>
      <c r="G40" s="2" t="s">
        <v>35</v>
      </c>
      <c r="H40" s="2" t="s">
        <v>42</v>
      </c>
      <c r="I40" s="2">
        <v>3</v>
      </c>
      <c r="J40" s="2">
        <v>36385</v>
      </c>
      <c r="K40" s="2">
        <v>11265.47</v>
      </c>
      <c r="L40" s="2">
        <v>10915.5</v>
      </c>
      <c r="M40" s="2">
        <v>397</v>
      </c>
      <c r="N40" s="2">
        <v>109202.03</v>
      </c>
      <c r="O40" s="2" t="s">
        <v>50</v>
      </c>
      <c r="P40" s="2">
        <v>29602</v>
      </c>
      <c r="Q40" s="2" t="s">
        <v>63</v>
      </c>
      <c r="R40" s="2" t="s">
        <v>29</v>
      </c>
      <c r="S40" s="2">
        <v>9</v>
      </c>
      <c r="T40" s="2">
        <v>1</v>
      </c>
      <c r="U40" s="2" t="str" cm="1">
        <f t="array" ref="U40">_xlfn.IFS(N40&gt;200000,"PEAK SALES",N40&gt;100000,"GOOD SALES",N40&gt;50000,"AVERAGE SALES",N40&lt;50000,"PROFIT",N40&lt;10000,"LOSS")</f>
        <v>GOOD SALES</v>
      </c>
      <c r="V40" s="2">
        <f t="shared" si="0"/>
        <v>3</v>
      </c>
    </row>
    <row r="41" spans="1:22" x14ac:dyDescent="0.25">
      <c r="A41" s="2">
        <v>2040</v>
      </c>
      <c r="B41" s="2" t="s">
        <v>105</v>
      </c>
      <c r="C41" s="2" t="s">
        <v>72</v>
      </c>
      <c r="D41" s="2" t="s">
        <v>59</v>
      </c>
      <c r="E41" s="2" t="s">
        <v>54</v>
      </c>
      <c r="F41" s="2" t="s">
        <v>48</v>
      </c>
      <c r="G41" s="2" t="s">
        <v>66</v>
      </c>
      <c r="H41" s="2" t="s">
        <v>61</v>
      </c>
      <c r="I41" s="2">
        <v>1</v>
      </c>
      <c r="J41" s="2">
        <v>15741</v>
      </c>
      <c r="K41" s="2">
        <v>3071.99</v>
      </c>
      <c r="L41" s="2">
        <v>1574.1</v>
      </c>
      <c r="M41" s="2">
        <v>470</v>
      </c>
      <c r="N41" s="2">
        <v>14713.11</v>
      </c>
      <c r="O41" s="2" t="s">
        <v>43</v>
      </c>
      <c r="P41" s="2">
        <v>1642</v>
      </c>
      <c r="Q41" s="2" t="s">
        <v>52</v>
      </c>
      <c r="R41" s="2" t="s">
        <v>37</v>
      </c>
      <c r="S41" s="2">
        <v>6</v>
      </c>
      <c r="T41" s="2">
        <v>3</v>
      </c>
      <c r="U41" s="2" t="str" cm="1">
        <f t="array" ref="U41">_xlfn.IFS(N41&gt;200000,"PEAK SALES",N41&gt;100000,"GOOD SALES",N41&gt;50000,"AVERAGE SALES",N41&lt;50000,"PROFIT",N41&lt;10000,"LOSS")</f>
        <v>PROFIT</v>
      </c>
      <c r="V41" s="2">
        <f t="shared" si="0"/>
        <v>2</v>
      </c>
    </row>
    <row r="42" spans="1:22" x14ac:dyDescent="0.25">
      <c r="A42" s="2">
        <v>2041</v>
      </c>
      <c r="B42" s="2" t="s">
        <v>106</v>
      </c>
      <c r="C42" s="2" t="s">
        <v>46</v>
      </c>
      <c r="D42" s="2" t="s">
        <v>59</v>
      </c>
      <c r="E42" s="2" t="s">
        <v>47</v>
      </c>
      <c r="F42" s="2" t="s">
        <v>48</v>
      </c>
      <c r="G42" s="2" t="s">
        <v>77</v>
      </c>
      <c r="H42" s="2" t="s">
        <v>42</v>
      </c>
      <c r="I42" s="2">
        <v>1</v>
      </c>
      <c r="J42" s="2">
        <v>39336</v>
      </c>
      <c r="K42" s="2">
        <v>2654.94</v>
      </c>
      <c r="L42" s="2">
        <v>3933.6</v>
      </c>
      <c r="M42" s="2">
        <v>423</v>
      </c>
      <c r="N42" s="2">
        <v>41037.660000000003</v>
      </c>
      <c r="O42" s="2" t="s">
        <v>27</v>
      </c>
      <c r="P42" s="2">
        <v>5300</v>
      </c>
      <c r="Q42" s="2" t="s">
        <v>52</v>
      </c>
      <c r="R42" s="2" t="s">
        <v>44</v>
      </c>
      <c r="S42" s="2">
        <v>8</v>
      </c>
      <c r="T42" s="2">
        <v>1</v>
      </c>
      <c r="U42" s="2" t="str" cm="1">
        <f t="array" ref="U42">_xlfn.IFS(N42&gt;200000,"PEAK SALES",N42&gt;100000,"GOOD SALES",N42&gt;50000,"AVERAGE SALES",N42&lt;50000,"PROFIT",N42&lt;10000,"LOSS")</f>
        <v>PROFIT</v>
      </c>
      <c r="V42" s="2">
        <f t="shared" si="0"/>
        <v>4</v>
      </c>
    </row>
    <row r="43" spans="1:22" x14ac:dyDescent="0.25">
      <c r="A43" s="2">
        <v>2042</v>
      </c>
      <c r="B43" s="2" t="s">
        <v>55</v>
      </c>
      <c r="C43" s="2" t="s">
        <v>21</v>
      </c>
      <c r="D43" s="2" t="s">
        <v>32</v>
      </c>
      <c r="E43" s="2" t="s">
        <v>54</v>
      </c>
      <c r="F43" s="2" t="s">
        <v>48</v>
      </c>
      <c r="G43" s="2" t="s">
        <v>66</v>
      </c>
      <c r="H43" s="2" t="s">
        <v>26</v>
      </c>
      <c r="I43" s="2">
        <v>2</v>
      </c>
      <c r="J43" s="2">
        <v>53309</v>
      </c>
      <c r="K43" s="2">
        <v>14604.01</v>
      </c>
      <c r="L43" s="2">
        <v>10661.8</v>
      </c>
      <c r="M43" s="2">
        <v>86</v>
      </c>
      <c r="N43" s="2">
        <v>102761.79</v>
      </c>
      <c r="O43" s="2" t="s">
        <v>43</v>
      </c>
      <c r="P43" s="2">
        <v>17581</v>
      </c>
      <c r="Q43" s="2" t="s">
        <v>52</v>
      </c>
      <c r="R43" s="2" t="s">
        <v>29</v>
      </c>
      <c r="S43" s="2">
        <v>2</v>
      </c>
      <c r="T43" s="2">
        <v>4</v>
      </c>
      <c r="U43" s="2" t="str" cm="1">
        <f t="array" ref="U43">_xlfn.IFS(N43&gt;200000,"PEAK SALES",N43&gt;100000,"GOOD SALES",N43&gt;50000,"AVERAGE SALES",N43&lt;50000,"PROFIT",N43&lt;10000,"LOSS")</f>
        <v>GOOD SALES</v>
      </c>
      <c r="V43" s="2">
        <f t="shared" si="0"/>
        <v>2</v>
      </c>
    </row>
    <row r="44" spans="1:22" x14ac:dyDescent="0.25">
      <c r="A44" s="2">
        <v>2043</v>
      </c>
      <c r="B44" s="2" t="s">
        <v>107</v>
      </c>
      <c r="C44" s="2" t="s">
        <v>75</v>
      </c>
      <c r="D44" s="2" t="s">
        <v>32</v>
      </c>
      <c r="E44" s="2" t="s">
        <v>33</v>
      </c>
      <c r="F44" s="2" t="s">
        <v>34</v>
      </c>
      <c r="G44" s="2" t="s">
        <v>80</v>
      </c>
      <c r="H44" s="2" t="s">
        <v>26</v>
      </c>
      <c r="I44" s="2">
        <v>1</v>
      </c>
      <c r="J44" s="2">
        <v>29952</v>
      </c>
      <c r="K44" s="2">
        <v>3878.47</v>
      </c>
      <c r="L44" s="2">
        <v>2995.2</v>
      </c>
      <c r="M44" s="2">
        <v>442</v>
      </c>
      <c r="N44" s="2">
        <v>29510.73</v>
      </c>
      <c r="O44" s="2" t="s">
        <v>62</v>
      </c>
      <c r="P44" s="2">
        <v>4665</v>
      </c>
      <c r="Q44" s="2" t="s">
        <v>63</v>
      </c>
      <c r="R44" s="2" t="s">
        <v>44</v>
      </c>
      <c r="S44" s="2">
        <v>7</v>
      </c>
      <c r="T44" s="2">
        <v>1</v>
      </c>
      <c r="U44" s="2" t="str" cm="1">
        <f t="array" ref="U44">_xlfn.IFS(N44&gt;200000,"PEAK SALES",N44&gt;100000,"GOOD SALES",N44&gt;50000,"AVERAGE SALES",N44&lt;50000,"PROFIT",N44&lt;10000,"LOSS")</f>
        <v>PROFIT</v>
      </c>
      <c r="V44" s="2">
        <f t="shared" si="0"/>
        <v>1</v>
      </c>
    </row>
    <row r="45" spans="1:22" x14ac:dyDescent="0.25">
      <c r="A45" s="2">
        <v>2044</v>
      </c>
      <c r="B45" s="2" t="s">
        <v>108</v>
      </c>
      <c r="C45" s="2" t="s">
        <v>46</v>
      </c>
      <c r="D45" s="2" t="s">
        <v>59</v>
      </c>
      <c r="E45" s="2" t="s">
        <v>56</v>
      </c>
      <c r="F45" s="2" t="s">
        <v>48</v>
      </c>
      <c r="G45" s="2" t="s">
        <v>77</v>
      </c>
      <c r="H45" s="2" t="s">
        <v>61</v>
      </c>
      <c r="I45" s="2">
        <v>5</v>
      </c>
      <c r="J45" s="2">
        <v>22061</v>
      </c>
      <c r="K45" s="2">
        <v>16768.63</v>
      </c>
      <c r="L45" s="2">
        <v>11030.5</v>
      </c>
      <c r="M45" s="2">
        <v>256</v>
      </c>
      <c r="N45" s="2">
        <v>104822.87</v>
      </c>
      <c r="O45" s="2" t="s">
        <v>62</v>
      </c>
      <c r="P45" s="2">
        <v>20726</v>
      </c>
      <c r="Q45" s="2" t="s">
        <v>52</v>
      </c>
      <c r="R45" s="2" t="s">
        <v>44</v>
      </c>
      <c r="S45" s="2">
        <v>10</v>
      </c>
      <c r="T45" s="2">
        <v>5</v>
      </c>
      <c r="U45" s="2" t="str" cm="1">
        <f t="array" ref="U45">_xlfn.IFS(N45&gt;200000,"PEAK SALES",N45&gt;100000,"GOOD SALES",N45&gt;50000,"AVERAGE SALES",N45&lt;50000,"PROFIT",N45&lt;10000,"LOSS")</f>
        <v>GOOD SALES</v>
      </c>
      <c r="V45" s="2">
        <f t="shared" si="0"/>
        <v>1</v>
      </c>
    </row>
    <row r="46" spans="1:22" x14ac:dyDescent="0.25">
      <c r="A46" s="2">
        <v>2045</v>
      </c>
      <c r="B46" s="2" t="s">
        <v>109</v>
      </c>
      <c r="C46" s="2" t="s">
        <v>87</v>
      </c>
      <c r="D46" s="2" t="s">
        <v>22</v>
      </c>
      <c r="E46" s="2" t="s">
        <v>54</v>
      </c>
      <c r="F46" s="2" t="s">
        <v>34</v>
      </c>
      <c r="G46" s="2" t="s">
        <v>35</v>
      </c>
      <c r="H46" s="2" t="s">
        <v>26</v>
      </c>
      <c r="I46" s="2">
        <v>5</v>
      </c>
      <c r="J46" s="2">
        <v>42574</v>
      </c>
      <c r="K46" s="2">
        <v>29571.77</v>
      </c>
      <c r="L46" s="2">
        <v>21287</v>
      </c>
      <c r="M46" s="2">
        <v>203</v>
      </c>
      <c r="N46" s="2">
        <v>204788.23</v>
      </c>
      <c r="O46" s="2" t="s">
        <v>50</v>
      </c>
      <c r="P46" s="2">
        <v>20923</v>
      </c>
      <c r="Q46" s="2" t="s">
        <v>63</v>
      </c>
      <c r="R46" s="2" t="s">
        <v>44</v>
      </c>
      <c r="S46" s="2">
        <v>1</v>
      </c>
      <c r="T46" s="2">
        <v>5</v>
      </c>
      <c r="U46" s="2" t="str" cm="1">
        <f t="array" ref="U46">_xlfn.IFS(N46&gt;200000,"PEAK SALES",N46&gt;100000,"GOOD SALES",N46&gt;50000,"AVERAGE SALES",N46&lt;50000,"PROFIT",N46&lt;10000,"LOSS")</f>
        <v>PEAK SALES</v>
      </c>
      <c r="V46" s="2">
        <f t="shared" si="0"/>
        <v>4</v>
      </c>
    </row>
    <row r="47" spans="1:22" x14ac:dyDescent="0.25">
      <c r="A47" s="2">
        <v>2046</v>
      </c>
      <c r="B47" s="2" t="s">
        <v>110</v>
      </c>
      <c r="C47" s="2" t="s">
        <v>21</v>
      </c>
      <c r="D47" s="2" t="s">
        <v>73</v>
      </c>
      <c r="E47" s="2" t="s">
        <v>33</v>
      </c>
      <c r="F47" s="2" t="s">
        <v>48</v>
      </c>
      <c r="G47" s="2" t="s">
        <v>66</v>
      </c>
      <c r="H47" s="2" t="s">
        <v>61</v>
      </c>
      <c r="I47" s="2">
        <v>1</v>
      </c>
      <c r="J47" s="2">
        <v>32302</v>
      </c>
      <c r="K47" s="2">
        <v>5806.07</v>
      </c>
      <c r="L47" s="2">
        <v>3230.2</v>
      </c>
      <c r="M47" s="2">
        <v>279</v>
      </c>
      <c r="N47" s="2">
        <v>30005.13</v>
      </c>
      <c r="O47" s="2" t="s">
        <v>27</v>
      </c>
      <c r="P47" s="2">
        <v>7585</v>
      </c>
      <c r="Q47" s="2" t="s">
        <v>63</v>
      </c>
      <c r="R47" s="2" t="s">
        <v>29</v>
      </c>
      <c r="S47" s="2">
        <v>7</v>
      </c>
      <c r="T47" s="2">
        <v>1</v>
      </c>
      <c r="U47" s="2" t="str" cm="1">
        <f t="array" ref="U47">_xlfn.IFS(N47&gt;200000,"PEAK SALES",N47&gt;100000,"GOOD SALES",N47&gt;50000,"AVERAGE SALES",N47&lt;50000,"PROFIT",N47&lt;10000,"LOSS")</f>
        <v>PROFIT</v>
      </c>
      <c r="V47" s="2">
        <f t="shared" si="0"/>
        <v>2</v>
      </c>
    </row>
    <row r="48" spans="1:22" x14ac:dyDescent="0.25">
      <c r="A48" s="2">
        <v>2047</v>
      </c>
      <c r="B48" s="2" t="s">
        <v>97</v>
      </c>
      <c r="C48" s="2" t="s">
        <v>58</v>
      </c>
      <c r="D48" s="2" t="s">
        <v>22</v>
      </c>
      <c r="E48" s="2" t="s">
        <v>103</v>
      </c>
      <c r="F48" s="2" t="s">
        <v>24</v>
      </c>
      <c r="G48" s="2" t="s">
        <v>69</v>
      </c>
      <c r="H48" s="2" t="s">
        <v>61</v>
      </c>
      <c r="I48" s="2">
        <v>2</v>
      </c>
      <c r="J48" s="2">
        <v>8818</v>
      </c>
      <c r="K48" s="2">
        <v>1844.63</v>
      </c>
      <c r="L48" s="2">
        <v>1763.6</v>
      </c>
      <c r="M48" s="2">
        <v>272</v>
      </c>
      <c r="N48" s="2">
        <v>17826.97</v>
      </c>
      <c r="O48" s="2" t="s">
        <v>50</v>
      </c>
      <c r="P48" s="2">
        <v>5082</v>
      </c>
      <c r="Q48" s="2" t="s">
        <v>63</v>
      </c>
      <c r="R48" s="2" t="s">
        <v>37</v>
      </c>
      <c r="S48" s="2">
        <v>9</v>
      </c>
      <c r="T48" s="2">
        <v>4</v>
      </c>
      <c r="U48" s="2" t="str" cm="1">
        <f t="array" ref="U48">_xlfn.IFS(N48&gt;200000,"PEAK SALES",N48&gt;100000,"GOOD SALES",N48&gt;50000,"AVERAGE SALES",N48&lt;50000,"PROFIT",N48&lt;10000,"LOSS")</f>
        <v>PROFIT</v>
      </c>
      <c r="V48" s="2">
        <f t="shared" si="0"/>
        <v>4</v>
      </c>
    </row>
    <row r="49" spans="1:22" x14ac:dyDescent="0.25">
      <c r="A49" s="2">
        <v>2048</v>
      </c>
      <c r="B49" s="2" t="s">
        <v>86</v>
      </c>
      <c r="C49" s="2" t="s">
        <v>72</v>
      </c>
      <c r="D49" s="2" t="s">
        <v>32</v>
      </c>
      <c r="E49" s="2" t="s">
        <v>47</v>
      </c>
      <c r="F49" s="2" t="s">
        <v>48</v>
      </c>
      <c r="G49" s="2" t="s">
        <v>49</v>
      </c>
      <c r="H49" s="2" t="s">
        <v>61</v>
      </c>
      <c r="I49" s="2">
        <v>3</v>
      </c>
      <c r="J49" s="2">
        <v>546</v>
      </c>
      <c r="K49" s="2">
        <v>318.39</v>
      </c>
      <c r="L49" s="2">
        <v>163.80000000000001</v>
      </c>
      <c r="M49" s="2">
        <v>237</v>
      </c>
      <c r="N49" s="2">
        <v>1720.41</v>
      </c>
      <c r="O49" s="2" t="s">
        <v>27</v>
      </c>
      <c r="P49" s="2">
        <v>500</v>
      </c>
      <c r="Q49" s="2" t="s">
        <v>52</v>
      </c>
      <c r="R49" s="2" t="s">
        <v>37</v>
      </c>
      <c r="S49" s="2">
        <v>2</v>
      </c>
      <c r="T49" s="2">
        <v>3</v>
      </c>
      <c r="U49" s="2" t="str" cm="1">
        <f t="array" ref="U49">_xlfn.IFS(N49&gt;200000,"PEAK SALES",N49&gt;100000,"GOOD SALES",N49&gt;50000,"AVERAGE SALES",N49&lt;50000,"PROFIT",N49&lt;10000,"LOSS")</f>
        <v>PROFIT</v>
      </c>
      <c r="V49" s="2">
        <f t="shared" si="0"/>
        <v>3</v>
      </c>
    </row>
    <row r="50" spans="1:22" x14ac:dyDescent="0.25">
      <c r="A50" s="2">
        <v>2049</v>
      </c>
      <c r="B50" s="2" t="s">
        <v>106</v>
      </c>
      <c r="C50" s="2" t="s">
        <v>58</v>
      </c>
      <c r="D50" s="2" t="s">
        <v>73</v>
      </c>
      <c r="E50" s="2" t="s">
        <v>54</v>
      </c>
      <c r="F50" s="2" t="s">
        <v>48</v>
      </c>
      <c r="G50" s="2" t="s">
        <v>66</v>
      </c>
      <c r="H50" s="2" t="s">
        <v>36</v>
      </c>
      <c r="I50" s="2">
        <v>1</v>
      </c>
      <c r="J50" s="2">
        <v>14748</v>
      </c>
      <c r="K50" s="2">
        <v>1444.51</v>
      </c>
      <c r="L50" s="2">
        <v>1474.8</v>
      </c>
      <c r="M50" s="2">
        <v>176</v>
      </c>
      <c r="N50" s="2">
        <v>14954.29</v>
      </c>
      <c r="O50" s="2" t="s">
        <v>50</v>
      </c>
      <c r="P50" s="2">
        <v>3534</v>
      </c>
      <c r="Q50" s="2" t="s">
        <v>63</v>
      </c>
      <c r="R50" s="2" t="s">
        <v>37</v>
      </c>
      <c r="S50" s="2">
        <v>3</v>
      </c>
      <c r="T50" s="2">
        <v>1</v>
      </c>
      <c r="U50" s="2" t="str" cm="1">
        <f t="array" ref="U50">_xlfn.IFS(N50&gt;200000,"PEAK SALES",N50&gt;100000,"GOOD SALES",N50&gt;50000,"AVERAGE SALES",N50&lt;50000,"PROFIT",N50&lt;10000,"LOSS")</f>
        <v>PROFIT</v>
      </c>
      <c r="V50" s="2">
        <f t="shared" si="0"/>
        <v>4</v>
      </c>
    </row>
    <row r="51" spans="1:22" x14ac:dyDescent="0.25">
      <c r="A51" s="2">
        <v>2050</v>
      </c>
      <c r="B51" s="2" t="s">
        <v>111</v>
      </c>
      <c r="C51" s="2" t="s">
        <v>75</v>
      </c>
      <c r="D51" s="2" t="s">
        <v>73</v>
      </c>
      <c r="E51" s="2" t="s">
        <v>40</v>
      </c>
      <c r="F51" s="2" t="s">
        <v>48</v>
      </c>
      <c r="G51" s="2" t="s">
        <v>49</v>
      </c>
      <c r="H51" s="2" t="s">
        <v>26</v>
      </c>
      <c r="I51" s="2">
        <v>5</v>
      </c>
      <c r="J51" s="2">
        <v>18426</v>
      </c>
      <c r="K51" s="2">
        <v>11169.03</v>
      </c>
      <c r="L51" s="2">
        <v>9213</v>
      </c>
      <c r="M51" s="2">
        <v>327</v>
      </c>
      <c r="N51" s="2">
        <v>90500.97</v>
      </c>
      <c r="O51" s="2" t="s">
        <v>43</v>
      </c>
      <c r="P51" s="2">
        <v>10887</v>
      </c>
      <c r="Q51" s="2" t="s">
        <v>52</v>
      </c>
      <c r="R51" s="2" t="s">
        <v>37</v>
      </c>
      <c r="S51" s="2">
        <v>1</v>
      </c>
      <c r="T51" s="2">
        <v>2</v>
      </c>
      <c r="U51" s="2" t="str" cm="1">
        <f t="array" ref="U51">_xlfn.IFS(N51&gt;200000,"PEAK SALES",N51&gt;100000,"GOOD SALES",N51&gt;50000,"AVERAGE SALES",N51&lt;50000,"PROFIT",N51&lt;10000,"LOSS")</f>
        <v>AVERAGE SALES</v>
      </c>
      <c r="V51" s="2">
        <f t="shared" si="0"/>
        <v>4</v>
      </c>
    </row>
    <row r="52" spans="1:22" x14ac:dyDescent="0.25">
      <c r="A52" s="2">
        <v>2051</v>
      </c>
      <c r="B52" s="2" t="s">
        <v>112</v>
      </c>
      <c r="C52" s="2" t="s">
        <v>58</v>
      </c>
      <c r="D52" s="2" t="s">
        <v>32</v>
      </c>
      <c r="E52" s="2" t="s">
        <v>103</v>
      </c>
      <c r="F52" s="2" t="s">
        <v>24</v>
      </c>
      <c r="G52" s="2" t="s">
        <v>94</v>
      </c>
      <c r="H52" s="2" t="s">
        <v>26</v>
      </c>
      <c r="I52" s="2">
        <v>3</v>
      </c>
      <c r="J52" s="2">
        <v>21713</v>
      </c>
      <c r="K52" s="2">
        <v>12187.85</v>
      </c>
      <c r="L52" s="2">
        <v>6513.9</v>
      </c>
      <c r="M52" s="2">
        <v>390</v>
      </c>
      <c r="N52" s="2">
        <v>59855.05</v>
      </c>
      <c r="O52" s="2" t="s">
        <v>62</v>
      </c>
      <c r="P52" s="2">
        <v>8099</v>
      </c>
      <c r="Q52" s="2" t="s">
        <v>28</v>
      </c>
      <c r="R52" s="2" t="s">
        <v>44</v>
      </c>
      <c r="S52" s="2">
        <v>7</v>
      </c>
      <c r="T52" s="2">
        <v>4</v>
      </c>
      <c r="U52" s="2" t="str" cm="1">
        <f t="array" ref="U52">_xlfn.IFS(N52&gt;200000,"PEAK SALES",N52&gt;100000,"GOOD SALES",N52&gt;50000,"AVERAGE SALES",N52&lt;50000,"PROFIT",N52&lt;10000,"LOSS")</f>
        <v>AVERAGE SALES</v>
      </c>
      <c r="V52" s="2">
        <f t="shared" si="0"/>
        <v>1</v>
      </c>
    </row>
    <row r="53" spans="1:22" x14ac:dyDescent="0.25">
      <c r="A53" s="2">
        <v>2052</v>
      </c>
      <c r="B53" s="2" t="s">
        <v>113</v>
      </c>
      <c r="C53" s="2" t="s">
        <v>21</v>
      </c>
      <c r="D53" s="2" t="s">
        <v>22</v>
      </c>
      <c r="E53" s="2" t="s">
        <v>47</v>
      </c>
      <c r="F53" s="2" t="s">
        <v>34</v>
      </c>
      <c r="G53" s="2" t="s">
        <v>60</v>
      </c>
      <c r="H53" s="2" t="s">
        <v>42</v>
      </c>
      <c r="I53" s="2">
        <v>5</v>
      </c>
      <c r="J53" s="2">
        <v>23072</v>
      </c>
      <c r="K53" s="2">
        <v>10932.3</v>
      </c>
      <c r="L53" s="2">
        <v>11536</v>
      </c>
      <c r="M53" s="2">
        <v>374</v>
      </c>
      <c r="N53" s="2">
        <v>116337.7</v>
      </c>
      <c r="O53" s="2" t="s">
        <v>50</v>
      </c>
      <c r="P53" s="2">
        <v>23633</v>
      </c>
      <c r="Q53" s="2" t="s">
        <v>28</v>
      </c>
      <c r="R53" s="2" t="s">
        <v>29</v>
      </c>
      <c r="S53" s="2">
        <v>2</v>
      </c>
      <c r="T53" s="2">
        <v>3</v>
      </c>
      <c r="U53" s="2" t="str" cm="1">
        <f t="array" ref="U53">_xlfn.IFS(N53&gt;200000,"PEAK SALES",N53&gt;100000,"GOOD SALES",N53&gt;50000,"AVERAGE SALES",N53&lt;50000,"PROFIT",N53&lt;10000,"LOSS")</f>
        <v>GOOD SALES</v>
      </c>
      <c r="V53" s="2">
        <f t="shared" si="0"/>
        <v>4</v>
      </c>
    </row>
    <row r="54" spans="1:22" x14ac:dyDescent="0.25">
      <c r="A54" s="2">
        <v>2053</v>
      </c>
      <c r="B54" s="2" t="s">
        <v>114</v>
      </c>
      <c r="C54" s="2" t="s">
        <v>65</v>
      </c>
      <c r="D54" s="2" t="s">
        <v>32</v>
      </c>
      <c r="E54" s="2" t="s">
        <v>40</v>
      </c>
      <c r="F54" s="2" t="s">
        <v>48</v>
      </c>
      <c r="G54" s="2" t="s">
        <v>77</v>
      </c>
      <c r="H54" s="2" t="s">
        <v>36</v>
      </c>
      <c r="I54" s="2">
        <v>5</v>
      </c>
      <c r="J54" s="2">
        <v>19854</v>
      </c>
      <c r="K54" s="2">
        <v>17750.32</v>
      </c>
      <c r="L54" s="2">
        <v>9927</v>
      </c>
      <c r="M54" s="2">
        <v>132</v>
      </c>
      <c r="N54" s="2">
        <v>91578.68</v>
      </c>
      <c r="O54" s="2" t="s">
        <v>62</v>
      </c>
      <c r="P54" s="2">
        <v>27047</v>
      </c>
      <c r="Q54" s="2" t="s">
        <v>28</v>
      </c>
      <c r="R54" s="2" t="s">
        <v>44</v>
      </c>
      <c r="S54" s="2">
        <v>6</v>
      </c>
      <c r="T54" s="2">
        <v>3</v>
      </c>
      <c r="U54" s="2" t="str" cm="1">
        <f t="array" ref="U54">_xlfn.IFS(N54&gt;200000,"PEAK SALES",N54&gt;100000,"GOOD SALES",N54&gt;50000,"AVERAGE SALES",N54&lt;50000,"PROFIT",N54&lt;10000,"LOSS")</f>
        <v>AVERAGE SALES</v>
      </c>
      <c r="V54" s="2">
        <f t="shared" si="0"/>
        <v>1</v>
      </c>
    </row>
    <row r="55" spans="1:22" x14ac:dyDescent="0.25">
      <c r="A55" s="2">
        <v>2054</v>
      </c>
      <c r="B55" s="2" t="s">
        <v>115</v>
      </c>
      <c r="C55" s="2" t="s">
        <v>31</v>
      </c>
      <c r="D55" s="2" t="s">
        <v>59</v>
      </c>
      <c r="E55" s="2" t="s">
        <v>23</v>
      </c>
      <c r="F55" s="2" t="s">
        <v>48</v>
      </c>
      <c r="G55" s="2" t="s">
        <v>77</v>
      </c>
      <c r="H55" s="2" t="s">
        <v>42</v>
      </c>
      <c r="I55" s="2">
        <v>1</v>
      </c>
      <c r="J55" s="2">
        <v>11470</v>
      </c>
      <c r="K55" s="2">
        <v>867.47</v>
      </c>
      <c r="L55" s="2">
        <v>1147</v>
      </c>
      <c r="M55" s="2">
        <v>488</v>
      </c>
      <c r="N55" s="2">
        <v>12237.53</v>
      </c>
      <c r="O55" s="2" t="s">
        <v>62</v>
      </c>
      <c r="P55" s="2">
        <v>2057</v>
      </c>
      <c r="Q55" s="2" t="s">
        <v>28</v>
      </c>
      <c r="R55" s="2" t="s">
        <v>29</v>
      </c>
      <c r="S55" s="2">
        <v>3</v>
      </c>
      <c r="T55" s="2">
        <v>1</v>
      </c>
      <c r="U55" s="2" t="str" cm="1">
        <f t="array" ref="U55">_xlfn.IFS(N55&gt;200000,"PEAK SALES",N55&gt;100000,"GOOD SALES",N55&gt;50000,"AVERAGE SALES",N55&lt;50000,"PROFIT",N55&lt;10000,"LOSS")</f>
        <v>PROFIT</v>
      </c>
      <c r="V55" s="2">
        <f t="shared" si="0"/>
        <v>1</v>
      </c>
    </row>
    <row r="56" spans="1:22" x14ac:dyDescent="0.25">
      <c r="A56" s="2">
        <v>2055</v>
      </c>
      <c r="B56" s="2" t="s">
        <v>53</v>
      </c>
      <c r="C56" s="2" t="s">
        <v>31</v>
      </c>
      <c r="D56" s="2" t="s">
        <v>22</v>
      </c>
      <c r="E56" s="2" t="s">
        <v>103</v>
      </c>
      <c r="F56" s="2" t="s">
        <v>34</v>
      </c>
      <c r="G56" s="2" t="s">
        <v>41</v>
      </c>
      <c r="H56" s="2" t="s">
        <v>26</v>
      </c>
      <c r="I56" s="2">
        <v>2</v>
      </c>
      <c r="J56" s="2">
        <v>9554</v>
      </c>
      <c r="K56" s="2">
        <v>2148.12</v>
      </c>
      <c r="L56" s="2">
        <v>1910.8</v>
      </c>
      <c r="M56" s="2">
        <v>233</v>
      </c>
      <c r="N56" s="2">
        <v>19103.68</v>
      </c>
      <c r="O56" s="2" t="s">
        <v>43</v>
      </c>
      <c r="P56" s="2">
        <v>2758</v>
      </c>
      <c r="Q56" s="2" t="s">
        <v>28</v>
      </c>
      <c r="R56" s="2" t="s">
        <v>44</v>
      </c>
      <c r="S56" s="2">
        <v>7</v>
      </c>
      <c r="T56" s="2">
        <v>1</v>
      </c>
      <c r="U56" s="2" t="str" cm="1">
        <f t="array" ref="U56">_xlfn.IFS(N56&gt;200000,"PEAK SALES",N56&gt;100000,"GOOD SALES",N56&gt;50000,"AVERAGE SALES",N56&lt;50000,"PROFIT",N56&lt;10000,"LOSS")</f>
        <v>PROFIT</v>
      </c>
      <c r="V56" s="2">
        <f t="shared" si="0"/>
        <v>1</v>
      </c>
    </row>
    <row r="57" spans="1:22" x14ac:dyDescent="0.25">
      <c r="A57" s="2">
        <v>2056</v>
      </c>
      <c r="B57" s="2" t="s">
        <v>116</v>
      </c>
      <c r="C57" s="2" t="s">
        <v>58</v>
      </c>
      <c r="D57" s="2" t="s">
        <v>22</v>
      </c>
      <c r="E57" s="2" t="s">
        <v>47</v>
      </c>
      <c r="F57" s="2" t="s">
        <v>34</v>
      </c>
      <c r="G57" s="2" t="s">
        <v>41</v>
      </c>
      <c r="H57" s="2" t="s">
        <v>61</v>
      </c>
      <c r="I57" s="2">
        <v>1</v>
      </c>
      <c r="J57" s="2">
        <v>42858</v>
      </c>
      <c r="K57" s="2">
        <v>7128.85</v>
      </c>
      <c r="L57" s="2">
        <v>4285.8</v>
      </c>
      <c r="M57" s="2">
        <v>369</v>
      </c>
      <c r="N57" s="2">
        <v>40383.949999999997</v>
      </c>
      <c r="O57" s="2" t="s">
        <v>62</v>
      </c>
      <c r="P57" s="2">
        <v>6604</v>
      </c>
      <c r="Q57" s="2" t="s">
        <v>52</v>
      </c>
      <c r="R57" s="2" t="s">
        <v>29</v>
      </c>
      <c r="S57" s="2">
        <v>7</v>
      </c>
      <c r="T57" s="2">
        <v>4</v>
      </c>
      <c r="U57" s="2" t="str" cm="1">
        <f t="array" ref="U57">_xlfn.IFS(N57&gt;200000,"PEAK SALES",N57&gt;100000,"GOOD SALES",N57&gt;50000,"AVERAGE SALES",N57&lt;50000,"PROFIT",N57&lt;10000,"LOSS")</f>
        <v>PROFIT</v>
      </c>
      <c r="V57" s="2">
        <f t="shared" si="0"/>
        <v>3</v>
      </c>
    </row>
    <row r="58" spans="1:22" x14ac:dyDescent="0.25">
      <c r="A58" s="2">
        <v>2057</v>
      </c>
      <c r="B58" s="2" t="s">
        <v>117</v>
      </c>
      <c r="C58" s="2" t="s">
        <v>68</v>
      </c>
      <c r="D58" s="2" t="s">
        <v>59</v>
      </c>
      <c r="E58" s="2" t="s">
        <v>56</v>
      </c>
      <c r="F58" s="2" t="s">
        <v>48</v>
      </c>
      <c r="G58" s="2" t="s">
        <v>66</v>
      </c>
      <c r="H58" s="2" t="s">
        <v>61</v>
      </c>
      <c r="I58" s="2">
        <v>1</v>
      </c>
      <c r="J58" s="2">
        <v>47742</v>
      </c>
      <c r="K58" s="2">
        <v>4256.18</v>
      </c>
      <c r="L58" s="2">
        <v>4774.2</v>
      </c>
      <c r="M58" s="2">
        <v>94</v>
      </c>
      <c r="N58" s="2">
        <v>48354.02</v>
      </c>
      <c r="O58" s="2" t="s">
        <v>62</v>
      </c>
      <c r="P58" s="2">
        <v>12585</v>
      </c>
      <c r="Q58" s="2" t="s">
        <v>28</v>
      </c>
      <c r="R58" s="2" t="s">
        <v>44</v>
      </c>
      <c r="S58" s="2">
        <v>6</v>
      </c>
      <c r="T58" s="2">
        <v>1</v>
      </c>
      <c r="U58" s="2" t="str" cm="1">
        <f t="array" ref="U58">_xlfn.IFS(N58&gt;200000,"PEAK SALES",N58&gt;100000,"GOOD SALES",N58&gt;50000,"AVERAGE SALES",N58&lt;50000,"PROFIT",N58&lt;10000,"LOSS")</f>
        <v>PROFIT</v>
      </c>
      <c r="V58" s="2">
        <f t="shared" si="0"/>
        <v>4</v>
      </c>
    </row>
    <row r="59" spans="1:22" x14ac:dyDescent="0.25">
      <c r="A59" s="2">
        <v>2058</v>
      </c>
      <c r="B59" s="2" t="s">
        <v>101</v>
      </c>
      <c r="C59" s="2" t="s">
        <v>75</v>
      </c>
      <c r="D59" s="2" t="s">
        <v>32</v>
      </c>
      <c r="E59" s="2" t="s">
        <v>56</v>
      </c>
      <c r="F59" s="2" t="s">
        <v>48</v>
      </c>
      <c r="G59" s="2" t="s">
        <v>77</v>
      </c>
      <c r="H59" s="2" t="s">
        <v>26</v>
      </c>
      <c r="I59" s="2">
        <v>5</v>
      </c>
      <c r="J59" s="2">
        <v>55978</v>
      </c>
      <c r="K59" s="2">
        <v>53067.23</v>
      </c>
      <c r="L59" s="2">
        <v>27989</v>
      </c>
      <c r="M59" s="2">
        <v>82</v>
      </c>
      <c r="N59" s="2">
        <v>254893.77</v>
      </c>
      <c r="O59" s="2" t="s">
        <v>50</v>
      </c>
      <c r="P59" s="2">
        <v>54642</v>
      </c>
      <c r="Q59" s="2" t="s">
        <v>52</v>
      </c>
      <c r="R59" s="2" t="s">
        <v>44</v>
      </c>
      <c r="S59" s="2">
        <v>4</v>
      </c>
      <c r="T59" s="2">
        <v>4</v>
      </c>
      <c r="U59" s="2" t="str" cm="1">
        <f t="array" ref="U59">_xlfn.IFS(N59&gt;200000,"PEAK SALES",N59&gt;100000,"GOOD SALES",N59&gt;50000,"AVERAGE SALES",N59&lt;50000,"PROFIT",N59&lt;10000,"LOSS")</f>
        <v>PEAK SALES</v>
      </c>
      <c r="V59" s="2">
        <f t="shared" si="0"/>
        <v>2</v>
      </c>
    </row>
    <row r="60" spans="1:22" x14ac:dyDescent="0.25">
      <c r="A60" s="2">
        <v>2059</v>
      </c>
      <c r="B60" s="2" t="s">
        <v>118</v>
      </c>
      <c r="C60" s="2" t="s">
        <v>21</v>
      </c>
      <c r="D60" s="2" t="s">
        <v>32</v>
      </c>
      <c r="E60" s="2" t="s">
        <v>79</v>
      </c>
      <c r="F60" s="2" t="s">
        <v>24</v>
      </c>
      <c r="G60" s="2" t="s">
        <v>69</v>
      </c>
      <c r="H60" s="2" t="s">
        <v>42</v>
      </c>
      <c r="I60" s="2">
        <v>5</v>
      </c>
      <c r="J60" s="2">
        <v>51432</v>
      </c>
      <c r="K60" s="2">
        <v>47236.53</v>
      </c>
      <c r="L60" s="2">
        <v>25716</v>
      </c>
      <c r="M60" s="2">
        <v>77</v>
      </c>
      <c r="N60" s="2">
        <v>235716.47</v>
      </c>
      <c r="O60" s="2" t="s">
        <v>50</v>
      </c>
      <c r="P60" s="2">
        <v>31347</v>
      </c>
      <c r="Q60" s="2" t="s">
        <v>63</v>
      </c>
      <c r="R60" s="2" t="s">
        <v>29</v>
      </c>
      <c r="S60" s="2">
        <v>4</v>
      </c>
      <c r="T60" s="2">
        <v>4</v>
      </c>
      <c r="U60" s="2" t="str" cm="1">
        <f t="array" ref="U60">_xlfn.IFS(N60&gt;200000,"PEAK SALES",N60&gt;100000,"GOOD SALES",N60&gt;50000,"AVERAGE SALES",N60&lt;50000,"PROFIT",N60&lt;10000,"LOSS")</f>
        <v>PEAK SALES</v>
      </c>
      <c r="V60" s="2">
        <f t="shared" si="0"/>
        <v>4</v>
      </c>
    </row>
    <row r="61" spans="1:22" x14ac:dyDescent="0.25">
      <c r="A61" s="2">
        <v>2060</v>
      </c>
      <c r="B61" s="2" t="s">
        <v>100</v>
      </c>
      <c r="C61" s="2" t="s">
        <v>72</v>
      </c>
      <c r="D61" s="2" t="s">
        <v>32</v>
      </c>
      <c r="E61" s="2" t="s">
        <v>56</v>
      </c>
      <c r="F61" s="2" t="s">
        <v>48</v>
      </c>
      <c r="G61" s="2" t="s">
        <v>77</v>
      </c>
      <c r="H61" s="2" t="s">
        <v>36</v>
      </c>
      <c r="I61" s="2">
        <v>4</v>
      </c>
      <c r="J61" s="2">
        <v>13463</v>
      </c>
      <c r="K61" s="2">
        <v>10323.67</v>
      </c>
      <c r="L61" s="2">
        <v>5385.2</v>
      </c>
      <c r="M61" s="2">
        <v>274</v>
      </c>
      <c r="N61" s="2">
        <v>49187.53</v>
      </c>
      <c r="O61" s="2" t="s">
        <v>27</v>
      </c>
      <c r="P61" s="2">
        <v>8075</v>
      </c>
      <c r="Q61" s="2" t="s">
        <v>52</v>
      </c>
      <c r="R61" s="2" t="s">
        <v>37</v>
      </c>
      <c r="S61" s="2">
        <v>4</v>
      </c>
      <c r="T61" s="2">
        <v>4</v>
      </c>
      <c r="U61" s="2" t="str" cm="1">
        <f t="array" ref="U61">_xlfn.IFS(N61&gt;200000,"PEAK SALES",N61&gt;100000,"GOOD SALES",N61&gt;50000,"AVERAGE SALES",N61&lt;50000,"PROFIT",N61&lt;10000,"LOSS")</f>
        <v>PROFIT</v>
      </c>
      <c r="V61" s="2">
        <f t="shared" si="0"/>
        <v>2</v>
      </c>
    </row>
    <row r="62" spans="1:22" x14ac:dyDescent="0.25">
      <c r="A62" s="2">
        <v>2061</v>
      </c>
      <c r="B62" s="2" t="s">
        <v>84</v>
      </c>
      <c r="C62" s="2" t="s">
        <v>87</v>
      </c>
      <c r="D62" s="2" t="s">
        <v>59</v>
      </c>
      <c r="E62" s="2" t="s">
        <v>103</v>
      </c>
      <c r="F62" s="2" t="s">
        <v>24</v>
      </c>
      <c r="G62" s="2" t="s">
        <v>25</v>
      </c>
      <c r="H62" s="2" t="s">
        <v>26</v>
      </c>
      <c r="I62" s="2">
        <v>2</v>
      </c>
      <c r="J62" s="2">
        <v>10903</v>
      </c>
      <c r="K62" s="2">
        <v>2463.2399999999998</v>
      </c>
      <c r="L62" s="2">
        <v>2180.6</v>
      </c>
      <c r="M62" s="2">
        <v>491</v>
      </c>
      <c r="N62" s="2">
        <v>22014.36</v>
      </c>
      <c r="O62" s="2" t="s">
        <v>50</v>
      </c>
      <c r="P62" s="2">
        <v>5506</v>
      </c>
      <c r="Q62" s="2" t="s">
        <v>52</v>
      </c>
      <c r="R62" s="2" t="s">
        <v>44</v>
      </c>
      <c r="S62" s="2">
        <v>4</v>
      </c>
      <c r="T62" s="2">
        <v>5</v>
      </c>
      <c r="U62" s="2" t="str" cm="1">
        <f t="array" ref="U62">_xlfn.IFS(N62&gt;200000,"PEAK SALES",N62&gt;100000,"GOOD SALES",N62&gt;50000,"AVERAGE SALES",N62&lt;50000,"PROFIT",N62&lt;10000,"LOSS")</f>
        <v>PROFIT</v>
      </c>
      <c r="V62" s="2">
        <f t="shared" si="0"/>
        <v>2</v>
      </c>
    </row>
    <row r="63" spans="1:22" x14ac:dyDescent="0.25">
      <c r="A63" s="2">
        <v>2062</v>
      </c>
      <c r="B63" s="2" t="s">
        <v>92</v>
      </c>
      <c r="C63" s="2" t="s">
        <v>68</v>
      </c>
      <c r="D63" s="2" t="s">
        <v>22</v>
      </c>
      <c r="E63" s="2" t="s">
        <v>103</v>
      </c>
      <c r="F63" s="2" t="s">
        <v>24</v>
      </c>
      <c r="G63" s="2" t="s">
        <v>69</v>
      </c>
      <c r="H63" s="2" t="s">
        <v>61</v>
      </c>
      <c r="I63" s="2">
        <v>4</v>
      </c>
      <c r="J63" s="2">
        <v>55456</v>
      </c>
      <c r="K63" s="2">
        <v>26600.34</v>
      </c>
      <c r="L63" s="2">
        <v>22182.400000000001</v>
      </c>
      <c r="M63" s="2">
        <v>248</v>
      </c>
      <c r="N63" s="2">
        <v>217654.06</v>
      </c>
      <c r="O63" s="2" t="s">
        <v>50</v>
      </c>
      <c r="P63" s="2">
        <v>29204</v>
      </c>
      <c r="Q63" s="2" t="s">
        <v>28</v>
      </c>
      <c r="R63" s="2" t="s">
        <v>29</v>
      </c>
      <c r="S63" s="2">
        <v>7</v>
      </c>
      <c r="T63" s="2">
        <v>5</v>
      </c>
      <c r="U63" s="2" t="str" cm="1">
        <f t="array" ref="U63">_xlfn.IFS(N63&gt;200000,"PEAK SALES",N63&gt;100000,"GOOD SALES",N63&gt;50000,"AVERAGE SALES",N63&lt;50000,"PROFIT",N63&lt;10000,"LOSS")</f>
        <v>PEAK SALES</v>
      </c>
      <c r="V63" s="2">
        <f t="shared" si="0"/>
        <v>1</v>
      </c>
    </row>
    <row r="64" spans="1:22" x14ac:dyDescent="0.25">
      <c r="A64" s="2">
        <v>2063</v>
      </c>
      <c r="B64" s="2" t="s">
        <v>110</v>
      </c>
      <c r="C64" s="2" t="s">
        <v>87</v>
      </c>
      <c r="D64" s="2" t="s">
        <v>32</v>
      </c>
      <c r="E64" s="2" t="s">
        <v>103</v>
      </c>
      <c r="F64" s="2" t="s">
        <v>48</v>
      </c>
      <c r="G64" s="2" t="s">
        <v>49</v>
      </c>
      <c r="H64" s="2" t="s">
        <v>26</v>
      </c>
      <c r="I64" s="2">
        <v>3</v>
      </c>
      <c r="J64" s="2">
        <v>54385</v>
      </c>
      <c r="K64" s="2">
        <v>27334.25</v>
      </c>
      <c r="L64" s="2">
        <v>16315.5</v>
      </c>
      <c r="M64" s="2">
        <v>120</v>
      </c>
      <c r="N64" s="2">
        <v>152256.25</v>
      </c>
      <c r="O64" s="2" t="s">
        <v>43</v>
      </c>
      <c r="P64" s="2">
        <v>19918</v>
      </c>
      <c r="Q64" s="2" t="s">
        <v>28</v>
      </c>
      <c r="R64" s="2" t="s">
        <v>44</v>
      </c>
      <c r="S64" s="2">
        <v>8</v>
      </c>
      <c r="T64" s="2">
        <v>5</v>
      </c>
      <c r="U64" s="2" t="str" cm="1">
        <f t="array" ref="U64">_xlfn.IFS(N64&gt;200000,"PEAK SALES",N64&gt;100000,"GOOD SALES",N64&gt;50000,"AVERAGE SALES",N64&lt;50000,"PROFIT",N64&lt;10000,"LOSS")</f>
        <v>GOOD SALES</v>
      </c>
      <c r="V64" s="2">
        <f t="shared" si="0"/>
        <v>2</v>
      </c>
    </row>
    <row r="65" spans="1:22" x14ac:dyDescent="0.25">
      <c r="A65" s="2">
        <v>2064</v>
      </c>
      <c r="B65" s="2" t="s">
        <v>85</v>
      </c>
      <c r="C65" s="2" t="s">
        <v>68</v>
      </c>
      <c r="D65" s="2" t="s">
        <v>22</v>
      </c>
      <c r="E65" s="2" t="s">
        <v>47</v>
      </c>
      <c r="F65" s="2" t="s">
        <v>24</v>
      </c>
      <c r="G65" s="2" t="s">
        <v>25</v>
      </c>
      <c r="H65" s="2" t="s">
        <v>26</v>
      </c>
      <c r="I65" s="2">
        <v>5</v>
      </c>
      <c r="J65" s="2">
        <v>24626</v>
      </c>
      <c r="K65" s="2">
        <v>9680.2900000000009</v>
      </c>
      <c r="L65" s="2">
        <v>12313</v>
      </c>
      <c r="M65" s="2">
        <v>410</v>
      </c>
      <c r="N65" s="2">
        <v>126172.71</v>
      </c>
      <c r="O65" s="2" t="s">
        <v>62</v>
      </c>
      <c r="P65" s="2">
        <v>17414</v>
      </c>
      <c r="Q65" s="2" t="s">
        <v>52</v>
      </c>
      <c r="R65" s="2" t="s">
        <v>37</v>
      </c>
      <c r="S65" s="2">
        <v>8</v>
      </c>
      <c r="T65" s="2">
        <v>5</v>
      </c>
      <c r="U65" s="2" t="str" cm="1">
        <f t="array" ref="U65">_xlfn.IFS(N65&gt;200000,"PEAK SALES",N65&gt;100000,"GOOD SALES",N65&gt;50000,"AVERAGE SALES",N65&lt;50000,"PROFIT",N65&lt;10000,"LOSS")</f>
        <v>GOOD SALES</v>
      </c>
      <c r="V65" s="2">
        <f t="shared" si="0"/>
        <v>1</v>
      </c>
    </row>
    <row r="66" spans="1:22" x14ac:dyDescent="0.25">
      <c r="A66" s="2">
        <v>2065</v>
      </c>
      <c r="B66" s="2" t="s">
        <v>119</v>
      </c>
      <c r="C66" s="2" t="s">
        <v>39</v>
      </c>
      <c r="D66" s="2" t="s">
        <v>59</v>
      </c>
      <c r="E66" s="2" t="s">
        <v>47</v>
      </c>
      <c r="F66" s="2" t="s">
        <v>24</v>
      </c>
      <c r="G66" s="2" t="s">
        <v>94</v>
      </c>
      <c r="H66" s="2" t="s">
        <v>26</v>
      </c>
      <c r="I66" s="2">
        <v>5</v>
      </c>
      <c r="J66" s="2">
        <v>18903</v>
      </c>
      <c r="K66" s="2">
        <v>7281.45</v>
      </c>
      <c r="L66" s="2">
        <v>9451.5</v>
      </c>
      <c r="M66" s="2">
        <v>258</v>
      </c>
      <c r="N66" s="2">
        <v>96943.05</v>
      </c>
      <c r="O66" s="2" t="s">
        <v>27</v>
      </c>
      <c r="P66" s="2">
        <v>18777</v>
      </c>
      <c r="Q66" s="2" t="s">
        <v>63</v>
      </c>
      <c r="R66" s="2" t="s">
        <v>44</v>
      </c>
      <c r="S66" s="2">
        <v>9</v>
      </c>
      <c r="T66" s="2">
        <v>4</v>
      </c>
      <c r="U66" s="2" t="str" cm="1">
        <f t="array" ref="U66">_xlfn.IFS(N66&gt;200000,"PEAK SALES",N66&gt;100000,"GOOD SALES",N66&gt;50000,"AVERAGE SALES",N66&lt;50000,"PROFIT",N66&lt;10000,"LOSS")</f>
        <v>AVERAGE SALES</v>
      </c>
      <c r="V66" s="2">
        <f t="shared" si="0"/>
        <v>2</v>
      </c>
    </row>
    <row r="67" spans="1:22" x14ac:dyDescent="0.25">
      <c r="A67" s="2">
        <v>2066</v>
      </c>
      <c r="B67" s="2" t="s">
        <v>97</v>
      </c>
      <c r="C67" s="2" t="s">
        <v>46</v>
      </c>
      <c r="D67" s="2" t="s">
        <v>59</v>
      </c>
      <c r="E67" s="2" t="s">
        <v>79</v>
      </c>
      <c r="F67" s="2" t="s">
        <v>48</v>
      </c>
      <c r="G67" s="2" t="s">
        <v>49</v>
      </c>
      <c r="H67" s="2" t="s">
        <v>61</v>
      </c>
      <c r="I67" s="2">
        <v>5</v>
      </c>
      <c r="J67" s="2">
        <v>2356</v>
      </c>
      <c r="K67" s="2">
        <v>1155.2</v>
      </c>
      <c r="L67" s="2">
        <v>1178</v>
      </c>
      <c r="M67" s="2">
        <v>231</v>
      </c>
      <c r="N67" s="2">
        <v>12033.8</v>
      </c>
      <c r="O67" s="2" t="s">
        <v>50</v>
      </c>
      <c r="P67" s="2">
        <v>2613</v>
      </c>
      <c r="Q67" s="2" t="s">
        <v>52</v>
      </c>
      <c r="R67" s="2" t="s">
        <v>44</v>
      </c>
      <c r="S67" s="2">
        <v>9</v>
      </c>
      <c r="T67" s="2">
        <v>2</v>
      </c>
      <c r="U67" s="2" t="str" cm="1">
        <f t="array" ref="U67">_xlfn.IFS(N67&gt;200000,"PEAK SALES",N67&gt;100000,"GOOD SALES",N67&gt;50000,"AVERAGE SALES",N67&lt;50000,"PROFIT",N67&lt;10000,"LOSS")</f>
        <v>PROFIT</v>
      </c>
      <c r="V67" s="2">
        <f t="shared" ref="V67:V130" si="1">MONTH(B67)</f>
        <v>4</v>
      </c>
    </row>
    <row r="68" spans="1:22" x14ac:dyDescent="0.25">
      <c r="A68" s="2">
        <v>2067</v>
      </c>
      <c r="B68" s="2" t="s">
        <v>97</v>
      </c>
      <c r="C68" s="2" t="s">
        <v>72</v>
      </c>
      <c r="D68" s="2" t="s">
        <v>22</v>
      </c>
      <c r="E68" s="2" t="s">
        <v>33</v>
      </c>
      <c r="F68" s="2" t="s">
        <v>48</v>
      </c>
      <c r="G68" s="2" t="s">
        <v>66</v>
      </c>
      <c r="H68" s="2" t="s">
        <v>26</v>
      </c>
      <c r="I68" s="2">
        <v>2</v>
      </c>
      <c r="J68" s="2">
        <v>5217</v>
      </c>
      <c r="K68" s="2">
        <v>1774.72</v>
      </c>
      <c r="L68" s="2">
        <v>1043.4000000000001</v>
      </c>
      <c r="M68" s="2">
        <v>229</v>
      </c>
      <c r="N68" s="2">
        <v>9931.68</v>
      </c>
      <c r="O68" s="2" t="s">
        <v>50</v>
      </c>
      <c r="P68" s="2">
        <v>2214</v>
      </c>
      <c r="Q68" s="2" t="s">
        <v>63</v>
      </c>
      <c r="R68" s="2" t="s">
        <v>44</v>
      </c>
      <c r="S68" s="2">
        <v>7</v>
      </c>
      <c r="T68" s="2">
        <v>3</v>
      </c>
      <c r="U68" s="2" t="str" cm="1">
        <f t="array" ref="U68">_xlfn.IFS(N68&gt;200000,"PEAK SALES",N68&gt;100000,"GOOD SALES",N68&gt;50000,"AVERAGE SALES",N68&lt;50000,"PROFIT",N68&lt;10000,"LOSS")</f>
        <v>PROFIT</v>
      </c>
      <c r="V68" s="2">
        <f t="shared" si="1"/>
        <v>4</v>
      </c>
    </row>
    <row r="69" spans="1:22" x14ac:dyDescent="0.25">
      <c r="A69" s="2">
        <v>2068</v>
      </c>
      <c r="B69" s="2" t="s">
        <v>45</v>
      </c>
      <c r="C69" s="2" t="s">
        <v>68</v>
      </c>
      <c r="D69" s="2" t="s">
        <v>22</v>
      </c>
      <c r="E69" s="2" t="s">
        <v>40</v>
      </c>
      <c r="F69" s="2" t="s">
        <v>34</v>
      </c>
      <c r="G69" s="2" t="s">
        <v>41</v>
      </c>
      <c r="H69" s="2" t="s">
        <v>36</v>
      </c>
      <c r="I69" s="2">
        <v>2</v>
      </c>
      <c r="J69" s="2">
        <v>1855</v>
      </c>
      <c r="K69" s="2">
        <v>626.24</v>
      </c>
      <c r="L69" s="2">
        <v>371</v>
      </c>
      <c r="M69" s="2">
        <v>304</v>
      </c>
      <c r="N69" s="2">
        <v>3758.76</v>
      </c>
      <c r="O69" s="2" t="s">
        <v>43</v>
      </c>
      <c r="P69" s="2">
        <v>1095</v>
      </c>
      <c r="Q69" s="2" t="s">
        <v>52</v>
      </c>
      <c r="R69" s="2" t="s">
        <v>29</v>
      </c>
      <c r="S69" s="2">
        <v>2</v>
      </c>
      <c r="T69" s="2">
        <v>1</v>
      </c>
      <c r="U69" s="2" t="str" cm="1">
        <f t="array" ref="U69">_xlfn.IFS(N69&gt;200000,"PEAK SALES",N69&gt;100000,"GOOD SALES",N69&gt;50000,"AVERAGE SALES",N69&lt;50000,"PROFIT",N69&lt;10000,"LOSS")</f>
        <v>PROFIT</v>
      </c>
      <c r="V69" s="2">
        <f t="shared" si="1"/>
        <v>2</v>
      </c>
    </row>
    <row r="70" spans="1:22" x14ac:dyDescent="0.25">
      <c r="A70" s="2">
        <v>2069</v>
      </c>
      <c r="B70" s="2" t="s">
        <v>120</v>
      </c>
      <c r="C70" s="2" t="s">
        <v>58</v>
      </c>
      <c r="D70" s="2" t="s">
        <v>32</v>
      </c>
      <c r="E70" s="2" t="s">
        <v>40</v>
      </c>
      <c r="F70" s="2" t="s">
        <v>48</v>
      </c>
      <c r="G70" s="2" t="s">
        <v>77</v>
      </c>
      <c r="H70" s="2" t="s">
        <v>36</v>
      </c>
      <c r="I70" s="2">
        <v>5</v>
      </c>
      <c r="J70" s="2">
        <v>28624</v>
      </c>
      <c r="K70" s="2">
        <v>21879.62</v>
      </c>
      <c r="L70" s="2">
        <v>14312</v>
      </c>
      <c r="M70" s="2">
        <v>294</v>
      </c>
      <c r="N70" s="2">
        <v>135846.38</v>
      </c>
      <c r="O70" s="2" t="s">
        <v>43</v>
      </c>
      <c r="P70" s="2">
        <v>31741</v>
      </c>
      <c r="Q70" s="2" t="s">
        <v>28</v>
      </c>
      <c r="R70" s="2" t="s">
        <v>44</v>
      </c>
      <c r="S70" s="2">
        <v>6</v>
      </c>
      <c r="T70" s="2">
        <v>3</v>
      </c>
      <c r="U70" s="2" t="str" cm="1">
        <f t="array" ref="U70">_xlfn.IFS(N70&gt;200000,"PEAK SALES",N70&gt;100000,"GOOD SALES",N70&gt;50000,"AVERAGE SALES",N70&lt;50000,"PROFIT",N70&lt;10000,"LOSS")</f>
        <v>GOOD SALES</v>
      </c>
      <c r="V70" s="2">
        <f t="shared" si="1"/>
        <v>4</v>
      </c>
    </row>
    <row r="71" spans="1:22" x14ac:dyDescent="0.25">
      <c r="A71" s="2">
        <v>2070</v>
      </c>
      <c r="B71" s="2" t="s">
        <v>121</v>
      </c>
      <c r="C71" s="2" t="s">
        <v>75</v>
      </c>
      <c r="D71" s="2" t="s">
        <v>32</v>
      </c>
      <c r="E71" s="2" t="s">
        <v>40</v>
      </c>
      <c r="F71" s="2" t="s">
        <v>24</v>
      </c>
      <c r="G71" s="2" t="s">
        <v>25</v>
      </c>
      <c r="H71" s="2" t="s">
        <v>26</v>
      </c>
      <c r="I71" s="2">
        <v>1</v>
      </c>
      <c r="J71" s="2">
        <v>51974</v>
      </c>
      <c r="K71" s="2">
        <v>4623</v>
      </c>
      <c r="L71" s="2">
        <v>5197.3999999999996</v>
      </c>
      <c r="M71" s="2">
        <v>394</v>
      </c>
      <c r="N71" s="2">
        <v>52942.400000000001</v>
      </c>
      <c r="O71" s="2" t="s">
        <v>27</v>
      </c>
      <c r="P71" s="2">
        <v>13800</v>
      </c>
      <c r="Q71" s="2" t="s">
        <v>28</v>
      </c>
      <c r="R71" s="2" t="s">
        <v>29</v>
      </c>
      <c r="S71" s="2">
        <v>10</v>
      </c>
      <c r="T71" s="2">
        <v>3</v>
      </c>
      <c r="U71" s="2" t="str" cm="1">
        <f t="array" ref="U71">_xlfn.IFS(N71&gt;200000,"PEAK SALES",N71&gt;100000,"GOOD SALES",N71&gt;50000,"AVERAGE SALES",N71&lt;50000,"PROFIT",N71&lt;10000,"LOSS")</f>
        <v>AVERAGE SALES</v>
      </c>
      <c r="V71" s="2">
        <f t="shared" si="1"/>
        <v>3</v>
      </c>
    </row>
    <row r="72" spans="1:22" x14ac:dyDescent="0.25">
      <c r="A72" s="2">
        <v>2071</v>
      </c>
      <c r="B72" s="2" t="s">
        <v>83</v>
      </c>
      <c r="C72" s="2" t="s">
        <v>46</v>
      </c>
      <c r="D72" s="2" t="s">
        <v>59</v>
      </c>
      <c r="E72" s="2" t="s">
        <v>47</v>
      </c>
      <c r="F72" s="2" t="s">
        <v>24</v>
      </c>
      <c r="G72" s="2" t="s">
        <v>69</v>
      </c>
      <c r="H72" s="2" t="s">
        <v>61</v>
      </c>
      <c r="I72" s="2">
        <v>1</v>
      </c>
      <c r="J72" s="2">
        <v>11819</v>
      </c>
      <c r="K72" s="2">
        <v>1341.48</v>
      </c>
      <c r="L72" s="2">
        <v>1181.9000000000001</v>
      </c>
      <c r="M72" s="2">
        <v>417</v>
      </c>
      <c r="N72" s="2">
        <v>12076.42</v>
      </c>
      <c r="O72" s="2" t="s">
        <v>43</v>
      </c>
      <c r="P72" s="2">
        <v>3465</v>
      </c>
      <c r="Q72" s="2" t="s">
        <v>28</v>
      </c>
      <c r="R72" s="2" t="s">
        <v>44</v>
      </c>
      <c r="S72" s="2">
        <v>3</v>
      </c>
      <c r="T72" s="2">
        <v>5</v>
      </c>
      <c r="U72" s="2" t="str" cm="1">
        <f t="array" ref="U72">_xlfn.IFS(N72&gt;200000,"PEAK SALES",N72&gt;100000,"GOOD SALES",N72&gt;50000,"AVERAGE SALES",N72&lt;50000,"PROFIT",N72&lt;10000,"LOSS")</f>
        <v>PROFIT</v>
      </c>
      <c r="V72" s="2">
        <f t="shared" si="1"/>
        <v>1</v>
      </c>
    </row>
    <row r="73" spans="1:22" x14ac:dyDescent="0.25">
      <c r="A73" s="2">
        <v>2072</v>
      </c>
      <c r="B73" s="2" t="s">
        <v>114</v>
      </c>
      <c r="C73" s="2" t="s">
        <v>31</v>
      </c>
      <c r="D73" s="2" t="s">
        <v>59</v>
      </c>
      <c r="E73" s="2" t="s">
        <v>33</v>
      </c>
      <c r="F73" s="2" t="s">
        <v>48</v>
      </c>
      <c r="G73" s="2" t="s">
        <v>66</v>
      </c>
      <c r="H73" s="2" t="s">
        <v>26</v>
      </c>
      <c r="I73" s="2">
        <v>2</v>
      </c>
      <c r="J73" s="2">
        <v>47437</v>
      </c>
      <c r="K73" s="2">
        <v>7173.52</v>
      </c>
      <c r="L73" s="2">
        <v>9487.4</v>
      </c>
      <c r="M73" s="2">
        <v>140</v>
      </c>
      <c r="N73" s="2">
        <v>97327.87999999999</v>
      </c>
      <c r="O73" s="2" t="s">
        <v>27</v>
      </c>
      <c r="P73" s="2">
        <v>21093</v>
      </c>
      <c r="Q73" s="2" t="s">
        <v>52</v>
      </c>
      <c r="R73" s="2" t="s">
        <v>44</v>
      </c>
      <c r="S73" s="2">
        <v>7</v>
      </c>
      <c r="T73" s="2">
        <v>1</v>
      </c>
      <c r="U73" s="2" t="str" cm="1">
        <f t="array" ref="U73">_xlfn.IFS(N73&gt;200000,"PEAK SALES",N73&gt;100000,"GOOD SALES",N73&gt;50000,"AVERAGE SALES",N73&lt;50000,"PROFIT",N73&lt;10000,"LOSS")</f>
        <v>AVERAGE SALES</v>
      </c>
      <c r="V73" s="2">
        <f t="shared" si="1"/>
        <v>1</v>
      </c>
    </row>
    <row r="74" spans="1:22" x14ac:dyDescent="0.25">
      <c r="A74" s="2">
        <v>2073</v>
      </c>
      <c r="B74" s="2" t="s">
        <v>122</v>
      </c>
      <c r="C74" s="2" t="s">
        <v>46</v>
      </c>
      <c r="D74" s="2" t="s">
        <v>32</v>
      </c>
      <c r="E74" s="2" t="s">
        <v>33</v>
      </c>
      <c r="F74" s="2" t="s">
        <v>48</v>
      </c>
      <c r="G74" s="2" t="s">
        <v>49</v>
      </c>
      <c r="H74" s="2" t="s">
        <v>42</v>
      </c>
      <c r="I74" s="2">
        <v>5</v>
      </c>
      <c r="J74" s="2">
        <v>31381</v>
      </c>
      <c r="K74" s="2">
        <v>15945.86</v>
      </c>
      <c r="L74" s="2">
        <v>15690.5</v>
      </c>
      <c r="M74" s="2">
        <v>360</v>
      </c>
      <c r="N74" s="2">
        <v>157009.64000000001</v>
      </c>
      <c r="O74" s="2" t="s">
        <v>50</v>
      </c>
      <c r="P74" s="2">
        <v>30170</v>
      </c>
      <c r="Q74" s="2" t="s">
        <v>28</v>
      </c>
      <c r="R74" s="2" t="s">
        <v>37</v>
      </c>
      <c r="S74" s="2">
        <v>9</v>
      </c>
      <c r="T74" s="2">
        <v>2</v>
      </c>
      <c r="U74" s="2" t="str" cm="1">
        <f t="array" ref="U74">_xlfn.IFS(N74&gt;200000,"PEAK SALES",N74&gt;100000,"GOOD SALES",N74&gt;50000,"AVERAGE SALES",N74&lt;50000,"PROFIT",N74&lt;10000,"LOSS")</f>
        <v>GOOD SALES</v>
      </c>
      <c r="V74" s="2">
        <f t="shared" si="1"/>
        <v>4</v>
      </c>
    </row>
    <row r="75" spans="1:22" x14ac:dyDescent="0.25">
      <c r="A75" s="2">
        <v>2074</v>
      </c>
      <c r="B75" s="2" t="s">
        <v>123</v>
      </c>
      <c r="C75" s="2" t="s">
        <v>39</v>
      </c>
      <c r="D75" s="2" t="s">
        <v>73</v>
      </c>
      <c r="E75" s="2" t="s">
        <v>103</v>
      </c>
      <c r="F75" s="2" t="s">
        <v>24</v>
      </c>
      <c r="G75" s="2" t="s">
        <v>69</v>
      </c>
      <c r="H75" s="2" t="s">
        <v>61</v>
      </c>
      <c r="I75" s="2">
        <v>5</v>
      </c>
      <c r="J75" s="2">
        <v>29204</v>
      </c>
      <c r="K75" s="2">
        <v>18295.95</v>
      </c>
      <c r="L75" s="2">
        <v>14602</v>
      </c>
      <c r="M75" s="2">
        <v>500</v>
      </c>
      <c r="N75" s="2">
        <v>142826.04999999999</v>
      </c>
      <c r="O75" s="2" t="s">
        <v>43</v>
      </c>
      <c r="P75" s="2">
        <v>34377</v>
      </c>
      <c r="Q75" s="2" t="s">
        <v>28</v>
      </c>
      <c r="R75" s="2" t="s">
        <v>29</v>
      </c>
      <c r="S75" s="2">
        <v>10</v>
      </c>
      <c r="T75" s="2">
        <v>3</v>
      </c>
      <c r="U75" s="2" t="str" cm="1">
        <f t="array" ref="U75">_xlfn.IFS(N75&gt;200000,"PEAK SALES",N75&gt;100000,"GOOD SALES",N75&gt;50000,"AVERAGE SALES",N75&lt;50000,"PROFIT",N75&lt;10000,"LOSS")</f>
        <v>GOOD SALES</v>
      </c>
      <c r="V75" s="2">
        <f t="shared" si="1"/>
        <v>2</v>
      </c>
    </row>
    <row r="76" spans="1:22" x14ac:dyDescent="0.25">
      <c r="A76" s="2">
        <v>2075</v>
      </c>
      <c r="B76" s="2" t="s">
        <v>124</v>
      </c>
      <c r="C76" s="2" t="s">
        <v>46</v>
      </c>
      <c r="D76" s="2" t="s">
        <v>73</v>
      </c>
      <c r="E76" s="2" t="s">
        <v>54</v>
      </c>
      <c r="F76" s="2" t="s">
        <v>24</v>
      </c>
      <c r="G76" s="2" t="s">
        <v>69</v>
      </c>
      <c r="H76" s="2" t="s">
        <v>26</v>
      </c>
      <c r="I76" s="2">
        <v>4</v>
      </c>
      <c r="J76" s="2">
        <v>31268</v>
      </c>
      <c r="K76" s="2">
        <v>15074.56</v>
      </c>
      <c r="L76" s="2">
        <v>12507.2</v>
      </c>
      <c r="M76" s="2">
        <v>77</v>
      </c>
      <c r="N76" s="2">
        <v>122581.64</v>
      </c>
      <c r="O76" s="2" t="s">
        <v>43</v>
      </c>
      <c r="P76" s="2">
        <v>29326</v>
      </c>
      <c r="Q76" s="2" t="s">
        <v>28</v>
      </c>
      <c r="R76" s="2" t="s">
        <v>44</v>
      </c>
      <c r="S76" s="2">
        <v>3</v>
      </c>
      <c r="T76" s="2">
        <v>4</v>
      </c>
      <c r="U76" s="2" t="str" cm="1">
        <f t="array" ref="U76">_xlfn.IFS(N76&gt;200000,"PEAK SALES",N76&gt;100000,"GOOD SALES",N76&gt;50000,"AVERAGE SALES",N76&lt;50000,"PROFIT",N76&lt;10000,"LOSS")</f>
        <v>GOOD SALES</v>
      </c>
      <c r="V76" s="2">
        <f t="shared" si="1"/>
        <v>4</v>
      </c>
    </row>
    <row r="77" spans="1:22" x14ac:dyDescent="0.25">
      <c r="A77" s="2">
        <v>2076</v>
      </c>
      <c r="B77" s="2" t="s">
        <v>111</v>
      </c>
      <c r="C77" s="2" t="s">
        <v>72</v>
      </c>
      <c r="D77" s="2" t="s">
        <v>22</v>
      </c>
      <c r="E77" s="2" t="s">
        <v>33</v>
      </c>
      <c r="F77" s="2" t="s">
        <v>48</v>
      </c>
      <c r="G77" s="2" t="s">
        <v>66</v>
      </c>
      <c r="H77" s="2" t="s">
        <v>36</v>
      </c>
      <c r="I77" s="2">
        <v>2</v>
      </c>
      <c r="J77" s="2">
        <v>12303</v>
      </c>
      <c r="K77" s="2">
        <v>1865.17</v>
      </c>
      <c r="L77" s="2">
        <v>2460.6</v>
      </c>
      <c r="M77" s="2">
        <v>296</v>
      </c>
      <c r="N77" s="2">
        <v>25497.43</v>
      </c>
      <c r="O77" s="2" t="s">
        <v>62</v>
      </c>
      <c r="P77" s="2">
        <v>4375</v>
      </c>
      <c r="Q77" s="2" t="s">
        <v>28</v>
      </c>
      <c r="R77" s="2" t="s">
        <v>44</v>
      </c>
      <c r="S77" s="2">
        <v>4</v>
      </c>
      <c r="T77" s="2">
        <v>4</v>
      </c>
      <c r="U77" s="2" t="str" cm="1">
        <f t="array" ref="U77">_xlfn.IFS(N77&gt;200000,"PEAK SALES",N77&gt;100000,"GOOD SALES",N77&gt;50000,"AVERAGE SALES",N77&lt;50000,"PROFIT",N77&lt;10000,"LOSS")</f>
        <v>PROFIT</v>
      </c>
      <c r="V77" s="2">
        <f t="shared" si="1"/>
        <v>4</v>
      </c>
    </row>
    <row r="78" spans="1:22" x14ac:dyDescent="0.25">
      <c r="A78" s="2">
        <v>2077</v>
      </c>
      <c r="B78" s="2" t="s">
        <v>125</v>
      </c>
      <c r="C78" s="2" t="s">
        <v>58</v>
      </c>
      <c r="D78" s="2" t="s">
        <v>59</v>
      </c>
      <c r="E78" s="2" t="s">
        <v>40</v>
      </c>
      <c r="F78" s="2" t="s">
        <v>48</v>
      </c>
      <c r="G78" s="2" t="s">
        <v>66</v>
      </c>
      <c r="H78" s="2" t="s">
        <v>42</v>
      </c>
      <c r="I78" s="2">
        <v>5</v>
      </c>
      <c r="J78" s="2">
        <v>59462</v>
      </c>
      <c r="K78" s="2">
        <v>32985.43</v>
      </c>
      <c r="L78" s="2">
        <v>29731</v>
      </c>
      <c r="M78" s="2">
        <v>65</v>
      </c>
      <c r="N78" s="2">
        <v>294120.57</v>
      </c>
      <c r="O78" s="2" t="s">
        <v>50</v>
      </c>
      <c r="P78" s="2">
        <v>37306</v>
      </c>
      <c r="Q78" s="2" t="s">
        <v>28</v>
      </c>
      <c r="R78" s="2" t="s">
        <v>44</v>
      </c>
      <c r="S78" s="2">
        <v>1</v>
      </c>
      <c r="T78" s="2">
        <v>4</v>
      </c>
      <c r="U78" s="2" t="str" cm="1">
        <f t="array" ref="U78">_xlfn.IFS(N78&gt;200000,"PEAK SALES",N78&gt;100000,"GOOD SALES",N78&gt;50000,"AVERAGE SALES",N78&lt;50000,"PROFIT",N78&lt;10000,"LOSS")</f>
        <v>PEAK SALES</v>
      </c>
      <c r="V78" s="2">
        <f t="shared" si="1"/>
        <v>1</v>
      </c>
    </row>
    <row r="79" spans="1:22" x14ac:dyDescent="0.25">
      <c r="A79" s="2">
        <v>2078</v>
      </c>
      <c r="B79" s="2" t="s">
        <v>126</v>
      </c>
      <c r="C79" s="2" t="s">
        <v>75</v>
      </c>
      <c r="D79" s="2" t="s">
        <v>59</v>
      </c>
      <c r="E79" s="2" t="s">
        <v>103</v>
      </c>
      <c r="F79" s="2" t="s">
        <v>34</v>
      </c>
      <c r="G79" s="2" t="s">
        <v>80</v>
      </c>
      <c r="H79" s="2" t="s">
        <v>61</v>
      </c>
      <c r="I79" s="2">
        <v>1</v>
      </c>
      <c r="J79" s="2">
        <v>50437</v>
      </c>
      <c r="K79" s="2">
        <v>3206.53</v>
      </c>
      <c r="L79" s="2">
        <v>5043.7</v>
      </c>
      <c r="M79" s="2">
        <v>421</v>
      </c>
      <c r="N79" s="2">
        <v>52695.17</v>
      </c>
      <c r="O79" s="2" t="s">
        <v>62</v>
      </c>
      <c r="P79" s="2">
        <v>8491</v>
      </c>
      <c r="Q79" s="2" t="s">
        <v>28</v>
      </c>
      <c r="R79" s="2" t="s">
        <v>37</v>
      </c>
      <c r="S79" s="2">
        <v>1</v>
      </c>
      <c r="T79" s="2">
        <v>5</v>
      </c>
      <c r="U79" s="2" t="str" cm="1">
        <f t="array" ref="U79">_xlfn.IFS(N79&gt;200000,"PEAK SALES",N79&gt;100000,"GOOD SALES",N79&gt;50000,"AVERAGE SALES",N79&lt;50000,"PROFIT",N79&lt;10000,"LOSS")</f>
        <v>AVERAGE SALES</v>
      </c>
      <c r="V79" s="2">
        <f t="shared" si="1"/>
        <v>3</v>
      </c>
    </row>
    <row r="80" spans="1:22" x14ac:dyDescent="0.25">
      <c r="A80" s="2">
        <v>2079</v>
      </c>
      <c r="B80" s="2" t="s">
        <v>127</v>
      </c>
      <c r="C80" s="2" t="s">
        <v>31</v>
      </c>
      <c r="D80" s="2" t="s">
        <v>59</v>
      </c>
      <c r="E80" s="2" t="s">
        <v>54</v>
      </c>
      <c r="F80" s="2" t="s">
        <v>24</v>
      </c>
      <c r="G80" s="2" t="s">
        <v>69</v>
      </c>
      <c r="H80" s="2" t="s">
        <v>61</v>
      </c>
      <c r="I80" s="2">
        <v>4</v>
      </c>
      <c r="J80" s="2">
        <v>15456</v>
      </c>
      <c r="K80" s="2">
        <v>6962.98</v>
      </c>
      <c r="L80" s="2">
        <v>6182.4</v>
      </c>
      <c r="M80" s="2">
        <v>271</v>
      </c>
      <c r="N80" s="2">
        <v>61314.420000000013</v>
      </c>
      <c r="O80" s="2" t="s">
        <v>62</v>
      </c>
      <c r="P80" s="2">
        <v>9790</v>
      </c>
      <c r="Q80" s="2" t="s">
        <v>28</v>
      </c>
      <c r="R80" s="2" t="s">
        <v>29</v>
      </c>
      <c r="S80" s="2">
        <v>1</v>
      </c>
      <c r="T80" s="2">
        <v>4</v>
      </c>
      <c r="U80" s="2" t="str" cm="1">
        <f t="array" ref="U80">_xlfn.IFS(N80&gt;200000,"PEAK SALES",N80&gt;100000,"GOOD SALES",N80&gt;50000,"AVERAGE SALES",N80&lt;50000,"PROFIT",N80&lt;10000,"LOSS")</f>
        <v>AVERAGE SALES</v>
      </c>
      <c r="V80" s="2">
        <f t="shared" si="1"/>
        <v>3</v>
      </c>
    </row>
    <row r="81" spans="1:22" x14ac:dyDescent="0.25">
      <c r="A81" s="2">
        <v>2080</v>
      </c>
      <c r="B81" s="2" t="s">
        <v>119</v>
      </c>
      <c r="C81" s="2" t="s">
        <v>87</v>
      </c>
      <c r="D81" s="2" t="s">
        <v>32</v>
      </c>
      <c r="E81" s="2" t="s">
        <v>33</v>
      </c>
      <c r="F81" s="2" t="s">
        <v>48</v>
      </c>
      <c r="G81" s="2" t="s">
        <v>49</v>
      </c>
      <c r="H81" s="2" t="s">
        <v>42</v>
      </c>
      <c r="I81" s="2">
        <v>3</v>
      </c>
      <c r="J81" s="2">
        <v>6144</v>
      </c>
      <c r="K81" s="2">
        <v>3296.66</v>
      </c>
      <c r="L81" s="2">
        <v>1843.2</v>
      </c>
      <c r="M81" s="2">
        <v>256</v>
      </c>
      <c r="N81" s="2">
        <v>17234.54</v>
      </c>
      <c r="O81" s="2" t="s">
        <v>50</v>
      </c>
      <c r="P81" s="2">
        <v>4059</v>
      </c>
      <c r="Q81" s="2" t="s">
        <v>28</v>
      </c>
      <c r="R81" s="2" t="s">
        <v>37</v>
      </c>
      <c r="S81" s="2">
        <v>7</v>
      </c>
      <c r="T81" s="2">
        <v>1</v>
      </c>
      <c r="U81" s="2" t="str" cm="1">
        <f t="array" ref="U81">_xlfn.IFS(N81&gt;200000,"PEAK SALES",N81&gt;100000,"GOOD SALES",N81&gt;50000,"AVERAGE SALES",N81&lt;50000,"PROFIT",N81&lt;10000,"LOSS")</f>
        <v>PROFIT</v>
      </c>
      <c r="V81" s="2">
        <f t="shared" si="1"/>
        <v>2</v>
      </c>
    </row>
    <row r="82" spans="1:22" x14ac:dyDescent="0.25">
      <c r="A82" s="2">
        <v>2081</v>
      </c>
      <c r="B82" s="2" t="s">
        <v>128</v>
      </c>
      <c r="C82" s="2" t="s">
        <v>39</v>
      </c>
      <c r="D82" s="2" t="s">
        <v>59</v>
      </c>
      <c r="E82" s="2" t="s">
        <v>47</v>
      </c>
      <c r="F82" s="2" t="s">
        <v>24</v>
      </c>
      <c r="G82" s="2" t="s">
        <v>94</v>
      </c>
      <c r="H82" s="2" t="s">
        <v>42</v>
      </c>
      <c r="I82" s="2">
        <v>4</v>
      </c>
      <c r="J82" s="2">
        <v>54437</v>
      </c>
      <c r="K82" s="2">
        <v>24820.92</v>
      </c>
      <c r="L82" s="2">
        <v>21774.799999999999</v>
      </c>
      <c r="M82" s="2">
        <v>75</v>
      </c>
      <c r="N82" s="2">
        <v>214776.88</v>
      </c>
      <c r="O82" s="2" t="s">
        <v>27</v>
      </c>
      <c r="P82" s="2">
        <v>35131</v>
      </c>
      <c r="Q82" s="2" t="s">
        <v>28</v>
      </c>
      <c r="R82" s="2" t="s">
        <v>37</v>
      </c>
      <c r="S82" s="2">
        <v>7</v>
      </c>
      <c r="T82" s="2">
        <v>2</v>
      </c>
      <c r="U82" s="2" t="str" cm="1">
        <f t="array" ref="U82">_xlfn.IFS(N82&gt;200000,"PEAK SALES",N82&gt;100000,"GOOD SALES",N82&gt;50000,"AVERAGE SALES",N82&lt;50000,"PROFIT",N82&lt;10000,"LOSS")</f>
        <v>PEAK SALES</v>
      </c>
      <c r="V82" s="2">
        <f t="shared" si="1"/>
        <v>2</v>
      </c>
    </row>
    <row r="83" spans="1:22" x14ac:dyDescent="0.25">
      <c r="A83" s="2">
        <v>2082</v>
      </c>
      <c r="B83" s="2" t="s">
        <v>127</v>
      </c>
      <c r="C83" s="2" t="s">
        <v>75</v>
      </c>
      <c r="D83" s="2" t="s">
        <v>22</v>
      </c>
      <c r="E83" s="2" t="s">
        <v>33</v>
      </c>
      <c r="F83" s="2" t="s">
        <v>48</v>
      </c>
      <c r="G83" s="2" t="s">
        <v>77</v>
      </c>
      <c r="H83" s="2" t="s">
        <v>26</v>
      </c>
      <c r="I83" s="2">
        <v>2</v>
      </c>
      <c r="J83" s="2">
        <v>26976</v>
      </c>
      <c r="K83" s="2">
        <v>7278.74</v>
      </c>
      <c r="L83" s="2">
        <v>5395.2</v>
      </c>
      <c r="M83" s="2">
        <v>362</v>
      </c>
      <c r="N83" s="2">
        <v>52430.46</v>
      </c>
      <c r="O83" s="2" t="s">
        <v>27</v>
      </c>
      <c r="P83" s="2">
        <v>8965</v>
      </c>
      <c r="Q83" s="2" t="s">
        <v>28</v>
      </c>
      <c r="R83" s="2" t="s">
        <v>29</v>
      </c>
      <c r="S83" s="2">
        <v>7</v>
      </c>
      <c r="T83" s="2">
        <v>3</v>
      </c>
      <c r="U83" s="2" t="str" cm="1">
        <f t="array" ref="U83">_xlfn.IFS(N83&gt;200000,"PEAK SALES",N83&gt;100000,"GOOD SALES",N83&gt;50000,"AVERAGE SALES",N83&lt;50000,"PROFIT",N83&lt;10000,"LOSS")</f>
        <v>AVERAGE SALES</v>
      </c>
      <c r="V83" s="2">
        <f t="shared" si="1"/>
        <v>3</v>
      </c>
    </row>
    <row r="84" spans="1:22" x14ac:dyDescent="0.25">
      <c r="A84" s="2">
        <v>2083</v>
      </c>
      <c r="B84" s="2" t="s">
        <v>119</v>
      </c>
      <c r="C84" s="2" t="s">
        <v>87</v>
      </c>
      <c r="D84" s="2" t="s">
        <v>32</v>
      </c>
      <c r="E84" s="2" t="s">
        <v>56</v>
      </c>
      <c r="F84" s="2" t="s">
        <v>48</v>
      </c>
      <c r="G84" s="2" t="s">
        <v>66</v>
      </c>
      <c r="H84" s="2" t="s">
        <v>42</v>
      </c>
      <c r="I84" s="2">
        <v>4</v>
      </c>
      <c r="J84" s="2">
        <v>4044</v>
      </c>
      <c r="K84" s="2">
        <v>1759.97</v>
      </c>
      <c r="L84" s="2">
        <v>1617.6</v>
      </c>
      <c r="M84" s="2">
        <v>341</v>
      </c>
      <c r="N84" s="2">
        <v>16374.63</v>
      </c>
      <c r="O84" s="2" t="s">
        <v>62</v>
      </c>
      <c r="P84" s="2">
        <v>1886</v>
      </c>
      <c r="Q84" s="2" t="s">
        <v>28</v>
      </c>
      <c r="R84" s="2" t="s">
        <v>44</v>
      </c>
      <c r="S84" s="2">
        <v>2</v>
      </c>
      <c r="T84" s="2">
        <v>2</v>
      </c>
      <c r="U84" s="2" t="str" cm="1">
        <f t="array" ref="U84">_xlfn.IFS(N84&gt;200000,"PEAK SALES",N84&gt;100000,"GOOD SALES",N84&gt;50000,"AVERAGE SALES",N84&lt;50000,"PROFIT",N84&lt;10000,"LOSS")</f>
        <v>PROFIT</v>
      </c>
      <c r="V84" s="2">
        <f t="shared" si="1"/>
        <v>2</v>
      </c>
    </row>
    <row r="85" spans="1:22" x14ac:dyDescent="0.25">
      <c r="A85" s="2">
        <v>2084</v>
      </c>
      <c r="B85" s="2" t="s">
        <v>129</v>
      </c>
      <c r="C85" s="2" t="s">
        <v>58</v>
      </c>
      <c r="D85" s="2" t="s">
        <v>73</v>
      </c>
      <c r="E85" s="2" t="s">
        <v>54</v>
      </c>
      <c r="F85" s="2" t="s">
        <v>48</v>
      </c>
      <c r="G85" s="2" t="s">
        <v>66</v>
      </c>
      <c r="H85" s="2" t="s">
        <v>36</v>
      </c>
      <c r="I85" s="2">
        <v>5</v>
      </c>
      <c r="J85" s="2">
        <v>33895</v>
      </c>
      <c r="K85" s="2">
        <v>17789.34</v>
      </c>
      <c r="L85" s="2">
        <v>16947.5</v>
      </c>
      <c r="M85" s="2">
        <v>223</v>
      </c>
      <c r="N85" s="2">
        <v>168856.16</v>
      </c>
      <c r="O85" s="2" t="s">
        <v>50</v>
      </c>
      <c r="P85" s="2">
        <v>48665</v>
      </c>
      <c r="Q85" s="2" t="s">
        <v>63</v>
      </c>
      <c r="R85" s="2" t="s">
        <v>29</v>
      </c>
      <c r="S85" s="2">
        <v>9</v>
      </c>
      <c r="T85" s="2">
        <v>5</v>
      </c>
      <c r="U85" s="2" t="str" cm="1">
        <f t="array" ref="U85">_xlfn.IFS(N85&gt;200000,"PEAK SALES",N85&gt;100000,"GOOD SALES",N85&gt;50000,"AVERAGE SALES",N85&lt;50000,"PROFIT",N85&lt;10000,"LOSS")</f>
        <v>GOOD SALES</v>
      </c>
      <c r="V85" s="2">
        <f t="shared" si="1"/>
        <v>1</v>
      </c>
    </row>
    <row r="86" spans="1:22" x14ac:dyDescent="0.25">
      <c r="A86" s="2">
        <v>2085</v>
      </c>
      <c r="B86" s="2" t="s">
        <v>96</v>
      </c>
      <c r="C86" s="2" t="s">
        <v>68</v>
      </c>
      <c r="D86" s="2" t="s">
        <v>22</v>
      </c>
      <c r="E86" s="2" t="s">
        <v>47</v>
      </c>
      <c r="F86" s="2" t="s">
        <v>48</v>
      </c>
      <c r="G86" s="2" t="s">
        <v>66</v>
      </c>
      <c r="H86" s="2" t="s">
        <v>61</v>
      </c>
      <c r="I86" s="2">
        <v>3</v>
      </c>
      <c r="J86" s="2">
        <v>41759</v>
      </c>
      <c r="K86" s="2">
        <v>9561.52</v>
      </c>
      <c r="L86" s="2">
        <v>12527.7</v>
      </c>
      <c r="M86" s="2">
        <v>245</v>
      </c>
      <c r="N86" s="2">
        <v>128488.18</v>
      </c>
      <c r="O86" s="2" t="s">
        <v>27</v>
      </c>
      <c r="P86" s="2">
        <v>19795</v>
      </c>
      <c r="Q86" s="2" t="s">
        <v>63</v>
      </c>
      <c r="R86" s="2" t="s">
        <v>29</v>
      </c>
      <c r="S86" s="2">
        <v>9</v>
      </c>
      <c r="T86" s="2">
        <v>2</v>
      </c>
      <c r="U86" s="2" t="str" cm="1">
        <f t="array" ref="U86">_xlfn.IFS(N86&gt;200000,"PEAK SALES",N86&gt;100000,"GOOD SALES",N86&gt;50000,"AVERAGE SALES",N86&lt;50000,"PROFIT",N86&lt;10000,"LOSS")</f>
        <v>GOOD SALES</v>
      </c>
      <c r="V86" s="2">
        <f t="shared" si="1"/>
        <v>4</v>
      </c>
    </row>
    <row r="87" spans="1:22" x14ac:dyDescent="0.25">
      <c r="A87" s="2">
        <v>2086</v>
      </c>
      <c r="B87" s="2" t="s">
        <v>108</v>
      </c>
      <c r="C87" s="2" t="s">
        <v>46</v>
      </c>
      <c r="D87" s="2" t="s">
        <v>59</v>
      </c>
      <c r="E87" s="2" t="s">
        <v>103</v>
      </c>
      <c r="F87" s="2" t="s">
        <v>34</v>
      </c>
      <c r="G87" s="2" t="s">
        <v>41</v>
      </c>
      <c r="H87" s="2" t="s">
        <v>42</v>
      </c>
      <c r="I87" s="2">
        <v>1</v>
      </c>
      <c r="J87" s="2">
        <v>49622</v>
      </c>
      <c r="K87" s="2">
        <v>6623.93</v>
      </c>
      <c r="L87" s="2">
        <v>4962.2</v>
      </c>
      <c r="M87" s="2">
        <v>119</v>
      </c>
      <c r="N87" s="2">
        <v>48079.27</v>
      </c>
      <c r="O87" s="2" t="s">
        <v>50</v>
      </c>
      <c r="P87" s="2">
        <v>6264</v>
      </c>
      <c r="Q87" s="2" t="s">
        <v>63</v>
      </c>
      <c r="R87" s="2" t="s">
        <v>37</v>
      </c>
      <c r="S87" s="2">
        <v>3</v>
      </c>
      <c r="T87" s="2">
        <v>3</v>
      </c>
      <c r="U87" s="2" t="str" cm="1">
        <f t="array" ref="U87">_xlfn.IFS(N87&gt;200000,"PEAK SALES",N87&gt;100000,"GOOD SALES",N87&gt;50000,"AVERAGE SALES",N87&lt;50000,"PROFIT",N87&lt;10000,"LOSS")</f>
        <v>PROFIT</v>
      </c>
      <c r="V87" s="2">
        <f t="shared" si="1"/>
        <v>1</v>
      </c>
    </row>
    <row r="88" spans="1:22" x14ac:dyDescent="0.25">
      <c r="A88" s="2">
        <v>2087</v>
      </c>
      <c r="B88" s="2" t="s">
        <v>100</v>
      </c>
      <c r="C88" s="2" t="s">
        <v>65</v>
      </c>
      <c r="D88" s="2" t="s">
        <v>32</v>
      </c>
      <c r="E88" s="2" t="s">
        <v>56</v>
      </c>
      <c r="F88" s="2" t="s">
        <v>24</v>
      </c>
      <c r="G88" s="2" t="s">
        <v>69</v>
      </c>
      <c r="H88" s="2" t="s">
        <v>36</v>
      </c>
      <c r="I88" s="2">
        <v>3</v>
      </c>
      <c r="J88" s="2">
        <v>25054</v>
      </c>
      <c r="K88" s="2">
        <v>7845.3</v>
      </c>
      <c r="L88" s="2">
        <v>7516.2</v>
      </c>
      <c r="M88" s="2">
        <v>427</v>
      </c>
      <c r="N88" s="2">
        <v>75259.899999999994</v>
      </c>
      <c r="O88" s="2" t="s">
        <v>27</v>
      </c>
      <c r="P88" s="2">
        <v>11048</v>
      </c>
      <c r="Q88" s="2" t="s">
        <v>52</v>
      </c>
      <c r="R88" s="2" t="s">
        <v>37</v>
      </c>
      <c r="S88" s="2">
        <v>5</v>
      </c>
      <c r="T88" s="2">
        <v>4</v>
      </c>
      <c r="U88" s="2" t="str" cm="1">
        <f t="array" ref="U88">_xlfn.IFS(N88&gt;200000,"PEAK SALES",N88&gt;100000,"GOOD SALES",N88&gt;50000,"AVERAGE SALES",N88&lt;50000,"PROFIT",N88&lt;10000,"LOSS")</f>
        <v>AVERAGE SALES</v>
      </c>
      <c r="V88" s="2">
        <f t="shared" si="1"/>
        <v>2</v>
      </c>
    </row>
    <row r="89" spans="1:22" x14ac:dyDescent="0.25">
      <c r="A89" s="2">
        <v>2088</v>
      </c>
      <c r="B89" s="2" t="s">
        <v>124</v>
      </c>
      <c r="C89" s="2" t="s">
        <v>75</v>
      </c>
      <c r="D89" s="2" t="s">
        <v>59</v>
      </c>
      <c r="E89" s="2" t="s">
        <v>103</v>
      </c>
      <c r="F89" s="2" t="s">
        <v>24</v>
      </c>
      <c r="G89" s="2" t="s">
        <v>69</v>
      </c>
      <c r="H89" s="2" t="s">
        <v>61</v>
      </c>
      <c r="I89" s="2">
        <v>2</v>
      </c>
      <c r="J89" s="2">
        <v>25648</v>
      </c>
      <c r="K89" s="2">
        <v>3206.18</v>
      </c>
      <c r="L89" s="2">
        <v>5129.6000000000004</v>
      </c>
      <c r="M89" s="2">
        <v>314</v>
      </c>
      <c r="N89" s="2">
        <v>53533.42</v>
      </c>
      <c r="O89" s="2" t="s">
        <v>27</v>
      </c>
      <c r="P89" s="2">
        <v>15951</v>
      </c>
      <c r="Q89" s="2" t="s">
        <v>52</v>
      </c>
      <c r="R89" s="2" t="s">
        <v>44</v>
      </c>
      <c r="S89" s="2">
        <v>2</v>
      </c>
      <c r="T89" s="2">
        <v>4</v>
      </c>
      <c r="U89" s="2" t="str" cm="1">
        <f t="array" ref="U89">_xlfn.IFS(N89&gt;200000,"PEAK SALES",N89&gt;100000,"GOOD SALES",N89&gt;50000,"AVERAGE SALES",N89&lt;50000,"PROFIT",N89&lt;10000,"LOSS")</f>
        <v>AVERAGE SALES</v>
      </c>
      <c r="V89" s="2">
        <f t="shared" si="1"/>
        <v>4</v>
      </c>
    </row>
    <row r="90" spans="1:22" x14ac:dyDescent="0.25">
      <c r="A90" s="2">
        <v>2089</v>
      </c>
      <c r="B90" s="2" t="s">
        <v>117</v>
      </c>
      <c r="C90" s="2" t="s">
        <v>75</v>
      </c>
      <c r="D90" s="2" t="s">
        <v>73</v>
      </c>
      <c r="E90" s="2" t="s">
        <v>40</v>
      </c>
      <c r="F90" s="2" t="s">
        <v>48</v>
      </c>
      <c r="G90" s="2" t="s">
        <v>66</v>
      </c>
      <c r="H90" s="2" t="s">
        <v>61</v>
      </c>
      <c r="I90" s="2">
        <v>1</v>
      </c>
      <c r="J90" s="2">
        <v>2141</v>
      </c>
      <c r="K90" s="2">
        <v>300.63</v>
      </c>
      <c r="L90" s="2">
        <v>214.1</v>
      </c>
      <c r="M90" s="2">
        <v>307</v>
      </c>
      <c r="N90" s="2">
        <v>2361.4699999999998</v>
      </c>
      <c r="O90" s="2" t="s">
        <v>62</v>
      </c>
      <c r="P90" s="2">
        <v>624</v>
      </c>
      <c r="Q90" s="2" t="s">
        <v>63</v>
      </c>
      <c r="R90" s="2" t="s">
        <v>29</v>
      </c>
      <c r="S90" s="2">
        <v>4</v>
      </c>
      <c r="T90" s="2">
        <v>1</v>
      </c>
      <c r="U90" s="2" t="str" cm="1">
        <f t="array" ref="U90">_xlfn.IFS(N90&gt;200000,"PEAK SALES",N90&gt;100000,"GOOD SALES",N90&gt;50000,"AVERAGE SALES",N90&lt;50000,"PROFIT",N90&lt;10000,"LOSS")</f>
        <v>PROFIT</v>
      </c>
      <c r="V90" s="2">
        <f t="shared" si="1"/>
        <v>4</v>
      </c>
    </row>
    <row r="91" spans="1:22" x14ac:dyDescent="0.25">
      <c r="A91" s="2">
        <v>2090</v>
      </c>
      <c r="B91" s="2" t="s">
        <v>130</v>
      </c>
      <c r="C91" s="2" t="s">
        <v>68</v>
      </c>
      <c r="D91" s="2" t="s">
        <v>73</v>
      </c>
      <c r="E91" s="2" t="s">
        <v>47</v>
      </c>
      <c r="F91" s="2" t="s">
        <v>34</v>
      </c>
      <c r="G91" s="2" t="s">
        <v>80</v>
      </c>
      <c r="H91" s="2" t="s">
        <v>61</v>
      </c>
      <c r="I91" s="2">
        <v>5</v>
      </c>
      <c r="J91" s="2">
        <v>58717</v>
      </c>
      <c r="K91" s="2">
        <v>37563.050000000003</v>
      </c>
      <c r="L91" s="2">
        <v>29358.5</v>
      </c>
      <c r="M91" s="2">
        <v>358</v>
      </c>
      <c r="N91" s="2">
        <v>285738.45</v>
      </c>
      <c r="O91" s="2" t="s">
        <v>62</v>
      </c>
      <c r="P91" s="2">
        <v>40694</v>
      </c>
      <c r="Q91" s="2" t="s">
        <v>52</v>
      </c>
      <c r="R91" s="2" t="s">
        <v>44</v>
      </c>
      <c r="S91" s="2">
        <v>5</v>
      </c>
      <c r="T91" s="2">
        <v>4</v>
      </c>
      <c r="U91" s="2" t="str" cm="1">
        <f t="array" ref="U91">_xlfn.IFS(N91&gt;200000,"PEAK SALES",N91&gt;100000,"GOOD SALES",N91&gt;50000,"AVERAGE SALES",N91&lt;50000,"PROFIT",N91&lt;10000,"LOSS")</f>
        <v>PEAK SALES</v>
      </c>
      <c r="V91" s="2">
        <f t="shared" si="1"/>
        <v>3</v>
      </c>
    </row>
    <row r="92" spans="1:22" x14ac:dyDescent="0.25">
      <c r="A92" s="2">
        <v>2091</v>
      </c>
      <c r="B92" s="2" t="s">
        <v>88</v>
      </c>
      <c r="C92" s="2" t="s">
        <v>68</v>
      </c>
      <c r="D92" s="2" t="s">
        <v>32</v>
      </c>
      <c r="E92" s="2" t="s">
        <v>40</v>
      </c>
      <c r="F92" s="2" t="s">
        <v>24</v>
      </c>
      <c r="G92" s="2" t="s">
        <v>25</v>
      </c>
      <c r="H92" s="2" t="s">
        <v>26</v>
      </c>
      <c r="I92" s="2">
        <v>5</v>
      </c>
      <c r="J92" s="2">
        <v>29809</v>
      </c>
      <c r="K92" s="2">
        <v>18265.29</v>
      </c>
      <c r="L92" s="2">
        <v>14904.5</v>
      </c>
      <c r="M92" s="2">
        <v>173</v>
      </c>
      <c r="N92" s="2">
        <v>145857.21</v>
      </c>
      <c r="O92" s="2" t="s">
        <v>62</v>
      </c>
      <c r="P92" s="2">
        <v>40356</v>
      </c>
      <c r="Q92" s="2" t="s">
        <v>63</v>
      </c>
      <c r="R92" s="2" t="s">
        <v>37</v>
      </c>
      <c r="S92" s="2">
        <v>6</v>
      </c>
      <c r="T92" s="2">
        <v>4</v>
      </c>
      <c r="U92" s="2" t="str" cm="1">
        <f t="array" ref="U92">_xlfn.IFS(N92&gt;200000,"PEAK SALES",N92&gt;100000,"GOOD SALES",N92&gt;50000,"AVERAGE SALES",N92&lt;50000,"PROFIT",N92&lt;10000,"LOSS")</f>
        <v>GOOD SALES</v>
      </c>
      <c r="V92" s="2">
        <f t="shared" si="1"/>
        <v>3</v>
      </c>
    </row>
    <row r="93" spans="1:22" x14ac:dyDescent="0.25">
      <c r="A93" s="2">
        <v>2092</v>
      </c>
      <c r="B93" s="2" t="s">
        <v>85</v>
      </c>
      <c r="C93" s="2" t="s">
        <v>21</v>
      </c>
      <c r="D93" s="2" t="s">
        <v>59</v>
      </c>
      <c r="E93" s="2" t="s">
        <v>103</v>
      </c>
      <c r="F93" s="2" t="s">
        <v>24</v>
      </c>
      <c r="G93" s="2" t="s">
        <v>69</v>
      </c>
      <c r="H93" s="2" t="s">
        <v>61</v>
      </c>
      <c r="I93" s="2">
        <v>4</v>
      </c>
      <c r="J93" s="2">
        <v>5324</v>
      </c>
      <c r="K93" s="2">
        <v>2408.92</v>
      </c>
      <c r="L93" s="2">
        <v>2129.6</v>
      </c>
      <c r="M93" s="2">
        <v>410</v>
      </c>
      <c r="N93" s="2">
        <v>21426.68</v>
      </c>
      <c r="O93" s="2" t="s">
        <v>62</v>
      </c>
      <c r="P93" s="2">
        <v>5469</v>
      </c>
      <c r="Q93" s="2" t="s">
        <v>63</v>
      </c>
      <c r="R93" s="2" t="s">
        <v>44</v>
      </c>
      <c r="S93" s="2">
        <v>10</v>
      </c>
      <c r="T93" s="2">
        <v>5</v>
      </c>
      <c r="U93" s="2" t="str" cm="1">
        <f t="array" ref="U93">_xlfn.IFS(N93&gt;200000,"PEAK SALES",N93&gt;100000,"GOOD SALES",N93&gt;50000,"AVERAGE SALES",N93&lt;50000,"PROFIT",N93&lt;10000,"LOSS")</f>
        <v>PROFIT</v>
      </c>
      <c r="V93" s="2">
        <f t="shared" si="1"/>
        <v>1</v>
      </c>
    </row>
    <row r="94" spans="1:22" x14ac:dyDescent="0.25">
      <c r="A94" s="2">
        <v>2093</v>
      </c>
      <c r="B94" s="2" t="s">
        <v>131</v>
      </c>
      <c r="C94" s="2" t="s">
        <v>75</v>
      </c>
      <c r="D94" s="2" t="s">
        <v>59</v>
      </c>
      <c r="E94" s="2" t="s">
        <v>54</v>
      </c>
      <c r="F94" s="2" t="s">
        <v>34</v>
      </c>
      <c r="G94" s="2" t="s">
        <v>60</v>
      </c>
      <c r="H94" s="2" t="s">
        <v>36</v>
      </c>
      <c r="I94" s="2">
        <v>3</v>
      </c>
      <c r="J94" s="2">
        <v>8120</v>
      </c>
      <c r="K94" s="2">
        <v>3177.48</v>
      </c>
      <c r="L94" s="2">
        <v>2436</v>
      </c>
      <c r="M94" s="2">
        <v>92</v>
      </c>
      <c r="N94" s="2">
        <v>23710.52</v>
      </c>
      <c r="O94" s="2" t="s">
        <v>62</v>
      </c>
      <c r="P94" s="2">
        <v>3523</v>
      </c>
      <c r="Q94" s="2" t="s">
        <v>52</v>
      </c>
      <c r="R94" s="2" t="s">
        <v>29</v>
      </c>
      <c r="S94" s="2">
        <v>2</v>
      </c>
      <c r="T94" s="2">
        <v>5</v>
      </c>
      <c r="U94" s="2" t="str" cm="1">
        <f t="array" ref="U94">_xlfn.IFS(N94&gt;200000,"PEAK SALES",N94&gt;100000,"GOOD SALES",N94&gt;50000,"AVERAGE SALES",N94&lt;50000,"PROFIT",N94&lt;10000,"LOSS")</f>
        <v>PROFIT</v>
      </c>
      <c r="V94" s="2">
        <f t="shared" si="1"/>
        <v>1</v>
      </c>
    </row>
    <row r="95" spans="1:22" x14ac:dyDescent="0.25">
      <c r="A95" s="2">
        <v>2094</v>
      </c>
      <c r="B95" s="2" t="s">
        <v>83</v>
      </c>
      <c r="C95" s="2" t="s">
        <v>46</v>
      </c>
      <c r="D95" s="2" t="s">
        <v>22</v>
      </c>
      <c r="E95" s="2" t="s">
        <v>79</v>
      </c>
      <c r="F95" s="2" t="s">
        <v>34</v>
      </c>
      <c r="G95" s="2" t="s">
        <v>80</v>
      </c>
      <c r="H95" s="2" t="s">
        <v>36</v>
      </c>
      <c r="I95" s="2">
        <v>2</v>
      </c>
      <c r="J95" s="2">
        <v>41691</v>
      </c>
      <c r="K95" s="2">
        <v>6221.35</v>
      </c>
      <c r="L95" s="2">
        <v>8338.2000000000007</v>
      </c>
      <c r="M95" s="2">
        <v>119</v>
      </c>
      <c r="N95" s="2">
        <v>85617.849999999991</v>
      </c>
      <c r="O95" s="2" t="s">
        <v>62</v>
      </c>
      <c r="P95" s="2">
        <v>22603</v>
      </c>
      <c r="Q95" s="2" t="s">
        <v>28</v>
      </c>
      <c r="R95" s="2" t="s">
        <v>29</v>
      </c>
      <c r="S95" s="2">
        <v>10</v>
      </c>
      <c r="T95" s="2">
        <v>5</v>
      </c>
      <c r="U95" s="2" t="str" cm="1">
        <f t="array" ref="U95">_xlfn.IFS(N95&gt;200000,"PEAK SALES",N95&gt;100000,"GOOD SALES",N95&gt;50000,"AVERAGE SALES",N95&lt;50000,"PROFIT",N95&lt;10000,"LOSS")</f>
        <v>AVERAGE SALES</v>
      </c>
      <c r="V95" s="2">
        <f t="shared" si="1"/>
        <v>1</v>
      </c>
    </row>
    <row r="96" spans="1:22" x14ac:dyDescent="0.25">
      <c r="A96" s="2">
        <v>2095</v>
      </c>
      <c r="B96" s="2" t="s">
        <v>132</v>
      </c>
      <c r="C96" s="2" t="s">
        <v>65</v>
      </c>
      <c r="D96" s="2" t="s">
        <v>59</v>
      </c>
      <c r="E96" s="2" t="s">
        <v>40</v>
      </c>
      <c r="F96" s="2" t="s">
        <v>34</v>
      </c>
      <c r="G96" s="2" t="s">
        <v>35</v>
      </c>
      <c r="H96" s="2" t="s">
        <v>42</v>
      </c>
      <c r="I96" s="2">
        <v>3</v>
      </c>
      <c r="J96" s="2">
        <v>58641</v>
      </c>
      <c r="K96" s="2">
        <v>20584.03</v>
      </c>
      <c r="L96" s="2">
        <v>17592.3</v>
      </c>
      <c r="M96" s="2">
        <v>198</v>
      </c>
      <c r="N96" s="2">
        <v>173129.27</v>
      </c>
      <c r="O96" s="2" t="s">
        <v>62</v>
      </c>
      <c r="P96" s="2">
        <v>28682</v>
      </c>
      <c r="Q96" s="2" t="s">
        <v>63</v>
      </c>
      <c r="R96" s="2" t="s">
        <v>44</v>
      </c>
      <c r="S96" s="2">
        <v>3</v>
      </c>
      <c r="T96" s="2">
        <v>2</v>
      </c>
      <c r="U96" s="2" t="str" cm="1">
        <f t="array" ref="U96">_xlfn.IFS(N96&gt;200000,"PEAK SALES",N96&gt;100000,"GOOD SALES",N96&gt;50000,"AVERAGE SALES",N96&lt;50000,"PROFIT",N96&lt;10000,"LOSS")</f>
        <v>GOOD SALES</v>
      </c>
      <c r="V96" s="2">
        <f t="shared" si="1"/>
        <v>1</v>
      </c>
    </row>
    <row r="97" spans="1:22" x14ac:dyDescent="0.25">
      <c r="A97" s="2">
        <v>2096</v>
      </c>
      <c r="B97" s="2" t="s">
        <v>115</v>
      </c>
      <c r="C97" s="2" t="s">
        <v>39</v>
      </c>
      <c r="D97" s="2" t="s">
        <v>59</v>
      </c>
      <c r="E97" s="2" t="s">
        <v>79</v>
      </c>
      <c r="F97" s="2" t="s">
        <v>48</v>
      </c>
      <c r="G97" s="2" t="s">
        <v>77</v>
      </c>
      <c r="H97" s="2" t="s">
        <v>61</v>
      </c>
      <c r="I97" s="2">
        <v>4</v>
      </c>
      <c r="J97" s="2">
        <v>3583</v>
      </c>
      <c r="K97" s="2">
        <v>2186.64</v>
      </c>
      <c r="L97" s="2">
        <v>1433.2</v>
      </c>
      <c r="M97" s="2">
        <v>165</v>
      </c>
      <c r="N97" s="2">
        <v>13743.56</v>
      </c>
      <c r="O97" s="2" t="s">
        <v>62</v>
      </c>
      <c r="P97" s="2">
        <v>3003</v>
      </c>
      <c r="Q97" s="2" t="s">
        <v>63</v>
      </c>
      <c r="R97" s="2" t="s">
        <v>44</v>
      </c>
      <c r="S97" s="2">
        <v>2</v>
      </c>
      <c r="T97" s="2">
        <v>4</v>
      </c>
      <c r="U97" s="2" t="str" cm="1">
        <f t="array" ref="U97">_xlfn.IFS(N97&gt;200000,"PEAK SALES",N97&gt;100000,"GOOD SALES",N97&gt;50000,"AVERAGE SALES",N97&lt;50000,"PROFIT",N97&lt;10000,"LOSS")</f>
        <v>PROFIT</v>
      </c>
      <c r="V97" s="2">
        <f t="shared" si="1"/>
        <v>1</v>
      </c>
    </row>
    <row r="98" spans="1:22" x14ac:dyDescent="0.25">
      <c r="A98" s="2">
        <v>2097</v>
      </c>
      <c r="B98" s="2" t="s">
        <v>133</v>
      </c>
      <c r="C98" s="2" t="s">
        <v>68</v>
      </c>
      <c r="D98" s="2" t="s">
        <v>59</v>
      </c>
      <c r="E98" s="2" t="s">
        <v>56</v>
      </c>
      <c r="F98" s="2" t="s">
        <v>48</v>
      </c>
      <c r="G98" s="2" t="s">
        <v>66</v>
      </c>
      <c r="H98" s="2" t="s">
        <v>42</v>
      </c>
      <c r="I98" s="2">
        <v>5</v>
      </c>
      <c r="J98" s="2">
        <v>11681</v>
      </c>
      <c r="K98" s="2">
        <v>9769.0400000000009</v>
      </c>
      <c r="L98" s="2">
        <v>5840.5</v>
      </c>
      <c r="M98" s="2">
        <v>386</v>
      </c>
      <c r="N98" s="2">
        <v>54862.46</v>
      </c>
      <c r="O98" s="2" t="s">
        <v>50</v>
      </c>
      <c r="P98" s="2">
        <v>12598</v>
      </c>
      <c r="Q98" s="2" t="s">
        <v>28</v>
      </c>
      <c r="R98" s="2" t="s">
        <v>37</v>
      </c>
      <c r="S98" s="2">
        <v>9</v>
      </c>
      <c r="T98" s="2">
        <v>5</v>
      </c>
      <c r="U98" s="2" t="str" cm="1">
        <f t="array" ref="U98">_xlfn.IFS(N98&gt;200000,"PEAK SALES",N98&gt;100000,"GOOD SALES",N98&gt;50000,"AVERAGE SALES",N98&lt;50000,"PROFIT",N98&lt;10000,"LOSS")</f>
        <v>AVERAGE SALES</v>
      </c>
      <c r="V98" s="2">
        <f t="shared" si="1"/>
        <v>2</v>
      </c>
    </row>
    <row r="99" spans="1:22" x14ac:dyDescent="0.25">
      <c r="A99" s="2">
        <v>2098</v>
      </c>
      <c r="B99" s="2" t="s">
        <v>81</v>
      </c>
      <c r="C99" s="2" t="s">
        <v>72</v>
      </c>
      <c r="D99" s="2" t="s">
        <v>59</v>
      </c>
      <c r="E99" s="2" t="s">
        <v>40</v>
      </c>
      <c r="F99" s="2" t="s">
        <v>34</v>
      </c>
      <c r="G99" s="2" t="s">
        <v>80</v>
      </c>
      <c r="H99" s="2" t="s">
        <v>36</v>
      </c>
      <c r="I99" s="2">
        <v>4</v>
      </c>
      <c r="J99" s="2">
        <v>52636</v>
      </c>
      <c r="K99" s="2">
        <v>20548.16</v>
      </c>
      <c r="L99" s="2">
        <v>21054.400000000001</v>
      </c>
      <c r="M99" s="2">
        <v>113</v>
      </c>
      <c r="N99" s="2">
        <v>211163.24</v>
      </c>
      <c r="O99" s="2" t="s">
        <v>50</v>
      </c>
      <c r="P99" s="2">
        <v>31353</v>
      </c>
      <c r="Q99" s="2" t="s">
        <v>28</v>
      </c>
      <c r="R99" s="2" t="s">
        <v>29</v>
      </c>
      <c r="S99" s="2">
        <v>1</v>
      </c>
      <c r="T99" s="2">
        <v>1</v>
      </c>
      <c r="U99" s="2" t="str" cm="1">
        <f t="array" ref="U99">_xlfn.IFS(N99&gt;200000,"PEAK SALES",N99&gt;100000,"GOOD SALES",N99&gt;50000,"AVERAGE SALES",N99&lt;50000,"PROFIT",N99&lt;10000,"LOSS")</f>
        <v>PEAK SALES</v>
      </c>
      <c r="V99" s="2">
        <f t="shared" si="1"/>
        <v>4</v>
      </c>
    </row>
    <row r="100" spans="1:22" x14ac:dyDescent="0.25">
      <c r="A100" s="2">
        <v>2099</v>
      </c>
      <c r="B100" s="2" t="s">
        <v>71</v>
      </c>
      <c r="C100" s="2" t="s">
        <v>72</v>
      </c>
      <c r="D100" s="2" t="s">
        <v>32</v>
      </c>
      <c r="E100" s="2" t="s">
        <v>33</v>
      </c>
      <c r="F100" s="2" t="s">
        <v>24</v>
      </c>
      <c r="G100" s="2" t="s">
        <v>94</v>
      </c>
      <c r="H100" s="2" t="s">
        <v>36</v>
      </c>
      <c r="I100" s="2">
        <v>1</v>
      </c>
      <c r="J100" s="2">
        <v>22373</v>
      </c>
      <c r="K100" s="2">
        <v>3468.88</v>
      </c>
      <c r="L100" s="2">
        <v>2237.3000000000002</v>
      </c>
      <c r="M100" s="2">
        <v>207</v>
      </c>
      <c r="N100" s="2">
        <v>21348.42</v>
      </c>
      <c r="O100" s="2" t="s">
        <v>62</v>
      </c>
      <c r="P100" s="2">
        <v>3012</v>
      </c>
      <c r="Q100" s="2" t="s">
        <v>28</v>
      </c>
      <c r="R100" s="2" t="s">
        <v>29</v>
      </c>
      <c r="S100" s="2">
        <v>6</v>
      </c>
      <c r="T100" s="2">
        <v>4</v>
      </c>
      <c r="U100" s="2" t="str" cm="1">
        <f t="array" ref="U100">_xlfn.IFS(N100&gt;200000,"PEAK SALES",N100&gt;100000,"GOOD SALES",N100&gt;50000,"AVERAGE SALES",N100&lt;50000,"PROFIT",N100&lt;10000,"LOSS")</f>
        <v>PROFIT</v>
      </c>
      <c r="V100" s="2">
        <f t="shared" si="1"/>
        <v>3</v>
      </c>
    </row>
    <row r="101" spans="1:22" x14ac:dyDescent="0.25">
      <c r="A101" s="2">
        <v>2100</v>
      </c>
      <c r="B101" s="2" t="s">
        <v>116</v>
      </c>
      <c r="C101" s="2" t="s">
        <v>46</v>
      </c>
      <c r="D101" s="2" t="s">
        <v>22</v>
      </c>
      <c r="E101" s="2" t="s">
        <v>47</v>
      </c>
      <c r="F101" s="2" t="s">
        <v>24</v>
      </c>
      <c r="G101" s="2" t="s">
        <v>94</v>
      </c>
      <c r="H101" s="2" t="s">
        <v>26</v>
      </c>
      <c r="I101" s="2">
        <v>1</v>
      </c>
      <c r="J101" s="2">
        <v>24495</v>
      </c>
      <c r="K101" s="2">
        <v>1587.3</v>
      </c>
      <c r="L101" s="2">
        <v>2449.5</v>
      </c>
      <c r="M101" s="2">
        <v>474</v>
      </c>
      <c r="N101" s="2">
        <v>25831.200000000001</v>
      </c>
      <c r="O101" s="2" t="s">
        <v>50</v>
      </c>
      <c r="P101" s="2">
        <v>7384</v>
      </c>
      <c r="Q101" s="2" t="s">
        <v>63</v>
      </c>
      <c r="R101" s="2" t="s">
        <v>29</v>
      </c>
      <c r="S101" s="2">
        <v>1</v>
      </c>
      <c r="T101" s="2">
        <v>3</v>
      </c>
      <c r="U101" s="2" t="str" cm="1">
        <f t="array" ref="U101">_xlfn.IFS(N101&gt;200000,"PEAK SALES",N101&gt;100000,"GOOD SALES",N101&gt;50000,"AVERAGE SALES",N101&lt;50000,"PROFIT",N101&lt;10000,"LOSS")</f>
        <v>PROFIT</v>
      </c>
      <c r="V101" s="2">
        <f t="shared" si="1"/>
        <v>3</v>
      </c>
    </row>
    <row r="102" spans="1:22" x14ac:dyDescent="0.25">
      <c r="A102" s="2">
        <v>2101</v>
      </c>
      <c r="B102" s="2" t="s">
        <v>134</v>
      </c>
      <c r="C102" s="2" t="s">
        <v>72</v>
      </c>
      <c r="D102" s="2" t="s">
        <v>73</v>
      </c>
      <c r="E102" s="2" t="s">
        <v>79</v>
      </c>
      <c r="F102" s="2" t="s">
        <v>24</v>
      </c>
      <c r="G102" s="2" t="s">
        <v>94</v>
      </c>
      <c r="H102" s="2" t="s">
        <v>42</v>
      </c>
      <c r="I102" s="2">
        <v>5</v>
      </c>
      <c r="J102" s="2">
        <v>29395</v>
      </c>
      <c r="K102" s="2">
        <v>12888.51</v>
      </c>
      <c r="L102" s="2">
        <v>14697.5</v>
      </c>
      <c r="M102" s="2">
        <v>393</v>
      </c>
      <c r="N102" s="2">
        <v>149176.99</v>
      </c>
      <c r="O102" s="2" t="s">
        <v>50</v>
      </c>
      <c r="P102" s="2">
        <v>38371</v>
      </c>
      <c r="Q102" s="2" t="s">
        <v>52</v>
      </c>
      <c r="R102" s="2" t="s">
        <v>29</v>
      </c>
      <c r="S102" s="2">
        <v>7</v>
      </c>
      <c r="T102" s="2">
        <v>1</v>
      </c>
      <c r="U102" s="2" t="str" cm="1">
        <f t="array" ref="U102">_xlfn.IFS(N102&gt;200000,"PEAK SALES",N102&gt;100000,"GOOD SALES",N102&gt;50000,"AVERAGE SALES",N102&lt;50000,"PROFIT",N102&lt;10000,"LOSS")</f>
        <v>GOOD SALES</v>
      </c>
      <c r="V102" s="2">
        <f t="shared" si="1"/>
        <v>1</v>
      </c>
    </row>
    <row r="103" spans="1:22" x14ac:dyDescent="0.25">
      <c r="A103" s="2">
        <v>2102</v>
      </c>
      <c r="B103" s="2" t="s">
        <v>126</v>
      </c>
      <c r="C103" s="2" t="s">
        <v>87</v>
      </c>
      <c r="D103" s="2" t="s">
        <v>59</v>
      </c>
      <c r="E103" s="2" t="s">
        <v>33</v>
      </c>
      <c r="F103" s="2" t="s">
        <v>24</v>
      </c>
      <c r="G103" s="2" t="s">
        <v>25</v>
      </c>
      <c r="H103" s="2" t="s">
        <v>61</v>
      </c>
      <c r="I103" s="2">
        <v>5</v>
      </c>
      <c r="J103" s="2">
        <v>9326</v>
      </c>
      <c r="K103" s="2">
        <v>3717.2</v>
      </c>
      <c r="L103" s="2">
        <v>4663</v>
      </c>
      <c r="M103" s="2">
        <v>282</v>
      </c>
      <c r="N103" s="2">
        <v>47857.8</v>
      </c>
      <c r="O103" s="2" t="s">
        <v>43</v>
      </c>
      <c r="P103" s="2">
        <v>5446</v>
      </c>
      <c r="Q103" s="2" t="s">
        <v>52</v>
      </c>
      <c r="R103" s="2" t="s">
        <v>37</v>
      </c>
      <c r="S103" s="2">
        <v>9</v>
      </c>
      <c r="T103" s="2">
        <v>1</v>
      </c>
      <c r="U103" s="2" t="str" cm="1">
        <f t="array" ref="U103">_xlfn.IFS(N103&gt;200000,"PEAK SALES",N103&gt;100000,"GOOD SALES",N103&gt;50000,"AVERAGE SALES",N103&lt;50000,"PROFIT",N103&lt;10000,"LOSS")</f>
        <v>PROFIT</v>
      </c>
      <c r="V103" s="2">
        <f t="shared" si="1"/>
        <v>3</v>
      </c>
    </row>
    <row r="104" spans="1:22" x14ac:dyDescent="0.25">
      <c r="A104" s="2">
        <v>2103</v>
      </c>
      <c r="B104" s="2" t="s">
        <v>134</v>
      </c>
      <c r="C104" s="2" t="s">
        <v>46</v>
      </c>
      <c r="D104" s="2" t="s">
        <v>22</v>
      </c>
      <c r="E104" s="2" t="s">
        <v>56</v>
      </c>
      <c r="F104" s="2" t="s">
        <v>48</v>
      </c>
      <c r="G104" s="2" t="s">
        <v>49</v>
      </c>
      <c r="H104" s="2" t="s">
        <v>61</v>
      </c>
      <c r="I104" s="2">
        <v>3</v>
      </c>
      <c r="J104" s="2">
        <v>42623</v>
      </c>
      <c r="K104" s="2">
        <v>21826.77</v>
      </c>
      <c r="L104" s="2">
        <v>12786.9</v>
      </c>
      <c r="M104" s="2">
        <v>443</v>
      </c>
      <c r="N104" s="2">
        <v>119272.13</v>
      </c>
      <c r="O104" s="2" t="s">
        <v>27</v>
      </c>
      <c r="P104" s="2">
        <v>32355</v>
      </c>
      <c r="Q104" s="2" t="s">
        <v>52</v>
      </c>
      <c r="R104" s="2" t="s">
        <v>29</v>
      </c>
      <c r="S104" s="2">
        <v>7</v>
      </c>
      <c r="T104" s="2">
        <v>5</v>
      </c>
      <c r="U104" s="2" t="str" cm="1">
        <f t="array" ref="U104">_xlfn.IFS(N104&gt;200000,"PEAK SALES",N104&gt;100000,"GOOD SALES",N104&gt;50000,"AVERAGE SALES",N104&lt;50000,"PROFIT",N104&lt;10000,"LOSS")</f>
        <v>GOOD SALES</v>
      </c>
      <c r="V104" s="2">
        <f t="shared" si="1"/>
        <v>1</v>
      </c>
    </row>
    <row r="105" spans="1:22" x14ac:dyDescent="0.25">
      <c r="A105" s="2">
        <v>2104</v>
      </c>
      <c r="B105" s="2" t="s">
        <v>110</v>
      </c>
      <c r="C105" s="2" t="s">
        <v>68</v>
      </c>
      <c r="D105" s="2" t="s">
        <v>73</v>
      </c>
      <c r="E105" s="2" t="s">
        <v>103</v>
      </c>
      <c r="F105" s="2" t="s">
        <v>48</v>
      </c>
      <c r="G105" s="2" t="s">
        <v>77</v>
      </c>
      <c r="H105" s="2" t="s">
        <v>26</v>
      </c>
      <c r="I105" s="2">
        <v>4</v>
      </c>
      <c r="J105" s="2">
        <v>20909</v>
      </c>
      <c r="K105" s="2">
        <v>13129.77</v>
      </c>
      <c r="L105" s="2">
        <v>8363.6</v>
      </c>
      <c r="M105" s="2">
        <v>268</v>
      </c>
      <c r="N105" s="2">
        <v>79137.83</v>
      </c>
      <c r="O105" s="2" t="s">
        <v>43</v>
      </c>
      <c r="P105" s="2">
        <v>22933</v>
      </c>
      <c r="Q105" s="2" t="s">
        <v>52</v>
      </c>
      <c r="R105" s="2" t="s">
        <v>29</v>
      </c>
      <c r="S105" s="2">
        <v>6</v>
      </c>
      <c r="T105" s="2">
        <v>3</v>
      </c>
      <c r="U105" s="2" t="str" cm="1">
        <f t="array" ref="U105">_xlfn.IFS(N105&gt;200000,"PEAK SALES",N105&gt;100000,"GOOD SALES",N105&gt;50000,"AVERAGE SALES",N105&lt;50000,"PROFIT",N105&lt;10000,"LOSS")</f>
        <v>AVERAGE SALES</v>
      </c>
      <c r="V105" s="2">
        <f t="shared" si="1"/>
        <v>2</v>
      </c>
    </row>
    <row r="106" spans="1:22" x14ac:dyDescent="0.25">
      <c r="A106" s="2">
        <v>2105</v>
      </c>
      <c r="B106" s="2" t="s">
        <v>109</v>
      </c>
      <c r="C106" s="2" t="s">
        <v>46</v>
      </c>
      <c r="D106" s="2" t="s">
        <v>59</v>
      </c>
      <c r="E106" s="2" t="s">
        <v>56</v>
      </c>
      <c r="F106" s="2" t="s">
        <v>48</v>
      </c>
      <c r="G106" s="2" t="s">
        <v>66</v>
      </c>
      <c r="H106" s="2" t="s">
        <v>42</v>
      </c>
      <c r="I106" s="2">
        <v>5</v>
      </c>
      <c r="J106" s="2">
        <v>23361</v>
      </c>
      <c r="K106" s="2">
        <v>16912.490000000002</v>
      </c>
      <c r="L106" s="2">
        <v>11680.5</v>
      </c>
      <c r="M106" s="2">
        <v>61</v>
      </c>
      <c r="N106" s="2">
        <v>111634.01</v>
      </c>
      <c r="O106" s="2" t="s">
        <v>50</v>
      </c>
      <c r="P106" s="2">
        <v>20121</v>
      </c>
      <c r="Q106" s="2" t="s">
        <v>28</v>
      </c>
      <c r="R106" s="2" t="s">
        <v>44</v>
      </c>
      <c r="S106" s="2">
        <v>4</v>
      </c>
      <c r="T106" s="2">
        <v>1</v>
      </c>
      <c r="U106" s="2" t="str" cm="1">
        <f t="array" ref="U106">_xlfn.IFS(N106&gt;200000,"PEAK SALES",N106&gt;100000,"GOOD SALES",N106&gt;50000,"AVERAGE SALES",N106&lt;50000,"PROFIT",N106&lt;10000,"LOSS")</f>
        <v>GOOD SALES</v>
      </c>
      <c r="V106" s="2">
        <f t="shared" si="1"/>
        <v>4</v>
      </c>
    </row>
    <row r="107" spans="1:22" x14ac:dyDescent="0.25">
      <c r="A107" s="2">
        <v>2106</v>
      </c>
      <c r="B107" s="2" t="s">
        <v>86</v>
      </c>
      <c r="C107" s="2" t="s">
        <v>58</v>
      </c>
      <c r="D107" s="2" t="s">
        <v>22</v>
      </c>
      <c r="E107" s="2" t="s">
        <v>54</v>
      </c>
      <c r="F107" s="2" t="s">
        <v>48</v>
      </c>
      <c r="G107" s="2" t="s">
        <v>49</v>
      </c>
      <c r="H107" s="2" t="s">
        <v>36</v>
      </c>
      <c r="I107" s="2">
        <v>1</v>
      </c>
      <c r="J107" s="2">
        <v>25382</v>
      </c>
      <c r="K107" s="2">
        <v>4019.19</v>
      </c>
      <c r="L107" s="2">
        <v>2538.1999999999998</v>
      </c>
      <c r="M107" s="2">
        <v>67</v>
      </c>
      <c r="N107" s="2">
        <v>23968.01</v>
      </c>
      <c r="O107" s="2" t="s">
        <v>50</v>
      </c>
      <c r="P107" s="2">
        <v>5121</v>
      </c>
      <c r="Q107" s="2" t="s">
        <v>52</v>
      </c>
      <c r="R107" s="2" t="s">
        <v>29</v>
      </c>
      <c r="S107" s="2">
        <v>3</v>
      </c>
      <c r="T107" s="2">
        <v>4</v>
      </c>
      <c r="U107" s="2" t="str" cm="1">
        <f t="array" ref="U107">_xlfn.IFS(N107&gt;200000,"PEAK SALES",N107&gt;100000,"GOOD SALES",N107&gt;50000,"AVERAGE SALES",N107&lt;50000,"PROFIT",N107&lt;10000,"LOSS")</f>
        <v>PROFIT</v>
      </c>
      <c r="V107" s="2">
        <f t="shared" si="1"/>
        <v>3</v>
      </c>
    </row>
    <row r="108" spans="1:22" x14ac:dyDescent="0.25">
      <c r="A108" s="2">
        <v>2107</v>
      </c>
      <c r="B108" s="2" t="s">
        <v>135</v>
      </c>
      <c r="C108" s="2" t="s">
        <v>39</v>
      </c>
      <c r="D108" s="2" t="s">
        <v>59</v>
      </c>
      <c r="E108" s="2" t="s">
        <v>54</v>
      </c>
      <c r="F108" s="2" t="s">
        <v>48</v>
      </c>
      <c r="G108" s="2" t="s">
        <v>66</v>
      </c>
      <c r="H108" s="2" t="s">
        <v>61</v>
      </c>
      <c r="I108" s="2">
        <v>4</v>
      </c>
      <c r="J108" s="2">
        <v>27915</v>
      </c>
      <c r="K108" s="2">
        <v>20968.490000000002</v>
      </c>
      <c r="L108" s="2">
        <v>11166</v>
      </c>
      <c r="M108" s="2">
        <v>78</v>
      </c>
      <c r="N108" s="2">
        <v>101935.51</v>
      </c>
      <c r="O108" s="2" t="s">
        <v>50</v>
      </c>
      <c r="P108" s="2">
        <v>29570</v>
      </c>
      <c r="Q108" s="2" t="s">
        <v>52</v>
      </c>
      <c r="R108" s="2" t="s">
        <v>29</v>
      </c>
      <c r="S108" s="2">
        <v>6</v>
      </c>
      <c r="T108" s="2">
        <v>2</v>
      </c>
      <c r="U108" s="2" t="str" cm="1">
        <f t="array" ref="U108">_xlfn.IFS(N108&gt;200000,"PEAK SALES",N108&gt;100000,"GOOD SALES",N108&gt;50000,"AVERAGE SALES",N108&lt;50000,"PROFIT",N108&lt;10000,"LOSS")</f>
        <v>GOOD SALES</v>
      </c>
      <c r="V108" s="2">
        <f t="shared" si="1"/>
        <v>3</v>
      </c>
    </row>
    <row r="109" spans="1:22" x14ac:dyDescent="0.25">
      <c r="A109" s="2">
        <v>2108</v>
      </c>
      <c r="B109" s="2" t="s">
        <v>136</v>
      </c>
      <c r="C109" s="2" t="s">
        <v>21</v>
      </c>
      <c r="D109" s="2" t="s">
        <v>22</v>
      </c>
      <c r="E109" s="2" t="s">
        <v>40</v>
      </c>
      <c r="F109" s="2" t="s">
        <v>48</v>
      </c>
      <c r="G109" s="2" t="s">
        <v>49</v>
      </c>
      <c r="H109" s="2" t="s">
        <v>42</v>
      </c>
      <c r="I109" s="2">
        <v>4</v>
      </c>
      <c r="J109" s="2">
        <v>2248</v>
      </c>
      <c r="K109" s="2">
        <v>1475.24</v>
      </c>
      <c r="L109" s="2">
        <v>899.2</v>
      </c>
      <c r="M109" s="2">
        <v>375</v>
      </c>
      <c r="N109" s="2">
        <v>8790.9600000000009</v>
      </c>
      <c r="O109" s="2" t="s">
        <v>43</v>
      </c>
      <c r="P109" s="2">
        <v>2201</v>
      </c>
      <c r="Q109" s="2" t="s">
        <v>63</v>
      </c>
      <c r="R109" s="2" t="s">
        <v>37</v>
      </c>
      <c r="S109" s="2">
        <v>5</v>
      </c>
      <c r="T109" s="2">
        <v>5</v>
      </c>
      <c r="U109" s="2" t="str" cm="1">
        <f t="array" ref="U109">_xlfn.IFS(N109&gt;200000,"PEAK SALES",N109&gt;100000,"GOOD SALES",N109&gt;50000,"AVERAGE SALES",N109&lt;50000,"PROFIT",N109&lt;10000,"LOSS")</f>
        <v>PROFIT</v>
      </c>
      <c r="V109" s="2">
        <f t="shared" si="1"/>
        <v>2</v>
      </c>
    </row>
    <row r="110" spans="1:22" x14ac:dyDescent="0.25">
      <c r="A110" s="2">
        <v>2109</v>
      </c>
      <c r="B110" s="2" t="s">
        <v>126</v>
      </c>
      <c r="C110" s="2" t="s">
        <v>31</v>
      </c>
      <c r="D110" s="2" t="s">
        <v>32</v>
      </c>
      <c r="E110" s="2" t="s">
        <v>23</v>
      </c>
      <c r="F110" s="2" t="s">
        <v>24</v>
      </c>
      <c r="G110" s="2" t="s">
        <v>94</v>
      </c>
      <c r="H110" s="2" t="s">
        <v>26</v>
      </c>
      <c r="I110" s="2">
        <v>5</v>
      </c>
      <c r="J110" s="2">
        <v>18744</v>
      </c>
      <c r="K110" s="2">
        <v>11365.23</v>
      </c>
      <c r="L110" s="2">
        <v>9372</v>
      </c>
      <c r="M110" s="2">
        <v>416</v>
      </c>
      <c r="N110" s="2">
        <v>92142.77</v>
      </c>
      <c r="O110" s="2" t="s">
        <v>50</v>
      </c>
      <c r="P110" s="2">
        <v>20942</v>
      </c>
      <c r="Q110" s="2" t="s">
        <v>63</v>
      </c>
      <c r="R110" s="2" t="s">
        <v>44</v>
      </c>
      <c r="S110" s="2">
        <v>6</v>
      </c>
      <c r="T110" s="2">
        <v>3</v>
      </c>
      <c r="U110" s="2" t="str" cm="1">
        <f t="array" ref="U110">_xlfn.IFS(N110&gt;200000,"PEAK SALES",N110&gt;100000,"GOOD SALES",N110&gt;50000,"AVERAGE SALES",N110&lt;50000,"PROFIT",N110&lt;10000,"LOSS")</f>
        <v>AVERAGE SALES</v>
      </c>
      <c r="V110" s="2">
        <f t="shared" si="1"/>
        <v>3</v>
      </c>
    </row>
    <row r="111" spans="1:22" x14ac:dyDescent="0.25">
      <c r="A111" s="2">
        <v>2110</v>
      </c>
      <c r="B111" s="2" t="s">
        <v>102</v>
      </c>
      <c r="C111" s="2" t="s">
        <v>87</v>
      </c>
      <c r="D111" s="2" t="s">
        <v>32</v>
      </c>
      <c r="E111" s="2" t="s">
        <v>103</v>
      </c>
      <c r="F111" s="2" t="s">
        <v>24</v>
      </c>
      <c r="G111" s="2" t="s">
        <v>25</v>
      </c>
      <c r="H111" s="2" t="s">
        <v>36</v>
      </c>
      <c r="I111" s="2">
        <v>3</v>
      </c>
      <c r="J111" s="2">
        <v>34934</v>
      </c>
      <c r="K111" s="2">
        <v>8492.08</v>
      </c>
      <c r="L111" s="2">
        <v>10480.200000000001</v>
      </c>
      <c r="M111" s="2">
        <v>466</v>
      </c>
      <c r="N111" s="2">
        <v>107256.12</v>
      </c>
      <c r="O111" s="2" t="s">
        <v>43</v>
      </c>
      <c r="P111" s="2">
        <v>24821</v>
      </c>
      <c r="Q111" s="2" t="s">
        <v>52</v>
      </c>
      <c r="R111" s="2" t="s">
        <v>37</v>
      </c>
      <c r="S111" s="2">
        <v>10</v>
      </c>
      <c r="T111" s="2">
        <v>3</v>
      </c>
      <c r="U111" s="2" t="str" cm="1">
        <f t="array" ref="U111">_xlfn.IFS(N111&gt;200000,"PEAK SALES",N111&gt;100000,"GOOD SALES",N111&gt;50000,"AVERAGE SALES",N111&lt;50000,"PROFIT",N111&lt;10000,"LOSS")</f>
        <v>GOOD SALES</v>
      </c>
      <c r="V111" s="2">
        <f t="shared" si="1"/>
        <v>3</v>
      </c>
    </row>
    <row r="112" spans="1:22" x14ac:dyDescent="0.25">
      <c r="A112" s="2">
        <v>2111</v>
      </c>
      <c r="B112" s="2" t="s">
        <v>137</v>
      </c>
      <c r="C112" s="2" t="s">
        <v>46</v>
      </c>
      <c r="D112" s="2" t="s">
        <v>73</v>
      </c>
      <c r="E112" s="2" t="s">
        <v>23</v>
      </c>
      <c r="F112" s="2" t="s">
        <v>48</v>
      </c>
      <c r="G112" s="2" t="s">
        <v>77</v>
      </c>
      <c r="H112" s="2" t="s">
        <v>42</v>
      </c>
      <c r="I112" s="2">
        <v>2</v>
      </c>
      <c r="J112" s="2">
        <v>33398</v>
      </c>
      <c r="K112" s="2">
        <v>3619.5</v>
      </c>
      <c r="L112" s="2">
        <v>6679.6</v>
      </c>
      <c r="M112" s="2">
        <v>242</v>
      </c>
      <c r="N112" s="2">
        <v>70098.100000000006</v>
      </c>
      <c r="O112" s="2" t="s">
        <v>27</v>
      </c>
      <c r="P112" s="2">
        <v>14558</v>
      </c>
      <c r="Q112" s="2" t="s">
        <v>63</v>
      </c>
      <c r="R112" s="2" t="s">
        <v>29</v>
      </c>
      <c r="S112" s="2">
        <v>2</v>
      </c>
      <c r="T112" s="2">
        <v>1</v>
      </c>
      <c r="U112" s="2" t="str" cm="1">
        <f t="array" ref="U112">_xlfn.IFS(N112&gt;200000,"PEAK SALES",N112&gt;100000,"GOOD SALES",N112&gt;50000,"AVERAGE SALES",N112&lt;50000,"PROFIT",N112&lt;10000,"LOSS")</f>
        <v>AVERAGE SALES</v>
      </c>
      <c r="V112" s="2">
        <f t="shared" si="1"/>
        <v>3</v>
      </c>
    </row>
    <row r="113" spans="1:22" x14ac:dyDescent="0.25">
      <c r="A113" s="2">
        <v>2112</v>
      </c>
      <c r="B113" s="2" t="s">
        <v>89</v>
      </c>
      <c r="C113" s="2" t="s">
        <v>87</v>
      </c>
      <c r="D113" s="2" t="s">
        <v>59</v>
      </c>
      <c r="E113" s="2" t="s">
        <v>33</v>
      </c>
      <c r="F113" s="2" t="s">
        <v>48</v>
      </c>
      <c r="G113" s="2" t="s">
        <v>66</v>
      </c>
      <c r="H113" s="2" t="s">
        <v>36</v>
      </c>
      <c r="I113" s="2">
        <v>1</v>
      </c>
      <c r="J113" s="2">
        <v>55320</v>
      </c>
      <c r="K113" s="2">
        <v>8418.24</v>
      </c>
      <c r="L113" s="2">
        <v>5532</v>
      </c>
      <c r="M113" s="2">
        <v>114</v>
      </c>
      <c r="N113" s="2">
        <v>52547.76</v>
      </c>
      <c r="O113" s="2" t="s">
        <v>50</v>
      </c>
      <c r="P113" s="2">
        <v>13434</v>
      </c>
      <c r="Q113" s="2" t="s">
        <v>28</v>
      </c>
      <c r="R113" s="2" t="s">
        <v>37</v>
      </c>
      <c r="S113" s="2">
        <v>3</v>
      </c>
      <c r="T113" s="2">
        <v>4</v>
      </c>
      <c r="U113" s="2" t="str" cm="1">
        <f t="array" ref="U113">_xlfn.IFS(N113&gt;200000,"PEAK SALES",N113&gt;100000,"GOOD SALES",N113&gt;50000,"AVERAGE SALES",N113&lt;50000,"PROFIT",N113&lt;10000,"LOSS")</f>
        <v>AVERAGE SALES</v>
      </c>
      <c r="V113" s="2">
        <f t="shared" si="1"/>
        <v>1</v>
      </c>
    </row>
    <row r="114" spans="1:22" x14ac:dyDescent="0.25">
      <c r="A114" s="2">
        <v>2113</v>
      </c>
      <c r="B114" s="2" t="s">
        <v>115</v>
      </c>
      <c r="C114" s="2" t="s">
        <v>31</v>
      </c>
      <c r="D114" s="2" t="s">
        <v>22</v>
      </c>
      <c r="E114" s="2" t="s">
        <v>40</v>
      </c>
      <c r="F114" s="2" t="s">
        <v>24</v>
      </c>
      <c r="G114" s="2" t="s">
        <v>69</v>
      </c>
      <c r="H114" s="2" t="s">
        <v>42</v>
      </c>
      <c r="I114" s="2">
        <v>1</v>
      </c>
      <c r="J114" s="2">
        <v>4790</v>
      </c>
      <c r="K114" s="2">
        <v>768.66</v>
      </c>
      <c r="L114" s="2">
        <v>479</v>
      </c>
      <c r="M114" s="2">
        <v>216</v>
      </c>
      <c r="N114" s="2">
        <v>4716.34</v>
      </c>
      <c r="O114" s="2" t="s">
        <v>50</v>
      </c>
      <c r="P114" s="2">
        <v>1152</v>
      </c>
      <c r="Q114" s="2" t="s">
        <v>52</v>
      </c>
      <c r="R114" s="2" t="s">
        <v>44</v>
      </c>
      <c r="S114" s="2">
        <v>7</v>
      </c>
      <c r="T114" s="2">
        <v>3</v>
      </c>
      <c r="U114" s="2" t="str" cm="1">
        <f t="array" ref="U114">_xlfn.IFS(N114&gt;200000,"PEAK SALES",N114&gt;100000,"GOOD SALES",N114&gt;50000,"AVERAGE SALES",N114&lt;50000,"PROFIT",N114&lt;10000,"LOSS")</f>
        <v>PROFIT</v>
      </c>
      <c r="V114" s="2">
        <f t="shared" si="1"/>
        <v>1</v>
      </c>
    </row>
    <row r="115" spans="1:22" x14ac:dyDescent="0.25">
      <c r="A115" s="2">
        <v>2114</v>
      </c>
      <c r="B115" s="2" t="s">
        <v>136</v>
      </c>
      <c r="C115" s="2" t="s">
        <v>75</v>
      </c>
      <c r="D115" s="2" t="s">
        <v>59</v>
      </c>
      <c r="E115" s="2" t="s">
        <v>103</v>
      </c>
      <c r="F115" s="2" t="s">
        <v>24</v>
      </c>
      <c r="G115" s="2" t="s">
        <v>94</v>
      </c>
      <c r="H115" s="2" t="s">
        <v>42</v>
      </c>
      <c r="I115" s="2">
        <v>5</v>
      </c>
      <c r="J115" s="2">
        <v>53041</v>
      </c>
      <c r="K115" s="2">
        <v>22730.23</v>
      </c>
      <c r="L115" s="2">
        <v>26520.5</v>
      </c>
      <c r="M115" s="2">
        <v>181</v>
      </c>
      <c r="N115" s="2">
        <v>269176.27</v>
      </c>
      <c r="O115" s="2" t="s">
        <v>62</v>
      </c>
      <c r="P115" s="2">
        <v>70302</v>
      </c>
      <c r="Q115" s="2" t="s">
        <v>52</v>
      </c>
      <c r="R115" s="2" t="s">
        <v>29</v>
      </c>
      <c r="S115" s="2">
        <v>5</v>
      </c>
      <c r="T115" s="2">
        <v>4</v>
      </c>
      <c r="U115" s="2" t="str" cm="1">
        <f t="array" ref="U115">_xlfn.IFS(N115&gt;200000,"PEAK SALES",N115&gt;100000,"GOOD SALES",N115&gt;50000,"AVERAGE SALES",N115&lt;50000,"PROFIT",N115&lt;10000,"LOSS")</f>
        <v>PEAK SALES</v>
      </c>
      <c r="V115" s="2">
        <f t="shared" si="1"/>
        <v>2</v>
      </c>
    </row>
    <row r="116" spans="1:22" x14ac:dyDescent="0.25">
      <c r="A116" s="2">
        <v>2115</v>
      </c>
      <c r="B116" s="2" t="s">
        <v>138</v>
      </c>
      <c r="C116" s="2" t="s">
        <v>87</v>
      </c>
      <c r="D116" s="2" t="s">
        <v>22</v>
      </c>
      <c r="E116" s="2" t="s">
        <v>103</v>
      </c>
      <c r="F116" s="2" t="s">
        <v>24</v>
      </c>
      <c r="G116" s="2" t="s">
        <v>69</v>
      </c>
      <c r="H116" s="2" t="s">
        <v>61</v>
      </c>
      <c r="I116" s="2">
        <v>1</v>
      </c>
      <c r="J116" s="2">
        <v>34664</v>
      </c>
      <c r="K116" s="2">
        <v>4573.29</v>
      </c>
      <c r="L116" s="2">
        <v>3466.4</v>
      </c>
      <c r="M116" s="2">
        <v>228</v>
      </c>
      <c r="N116" s="2">
        <v>33785.11</v>
      </c>
      <c r="O116" s="2" t="s">
        <v>62</v>
      </c>
      <c r="P116" s="2">
        <v>8289</v>
      </c>
      <c r="Q116" s="2" t="s">
        <v>28</v>
      </c>
      <c r="R116" s="2" t="s">
        <v>29</v>
      </c>
      <c r="S116" s="2">
        <v>9</v>
      </c>
      <c r="T116" s="2">
        <v>1</v>
      </c>
      <c r="U116" s="2" t="str" cm="1">
        <f t="array" ref="U116">_xlfn.IFS(N116&gt;200000,"PEAK SALES",N116&gt;100000,"GOOD SALES",N116&gt;50000,"AVERAGE SALES",N116&lt;50000,"PROFIT",N116&lt;10000,"LOSS")</f>
        <v>PROFIT</v>
      </c>
      <c r="V116" s="2">
        <f t="shared" si="1"/>
        <v>2</v>
      </c>
    </row>
    <row r="117" spans="1:22" x14ac:dyDescent="0.25">
      <c r="A117" s="2">
        <v>2116</v>
      </c>
      <c r="B117" s="2" t="s">
        <v>98</v>
      </c>
      <c r="C117" s="2" t="s">
        <v>21</v>
      </c>
      <c r="D117" s="2" t="s">
        <v>22</v>
      </c>
      <c r="E117" s="2" t="s">
        <v>33</v>
      </c>
      <c r="F117" s="2" t="s">
        <v>34</v>
      </c>
      <c r="G117" s="2" t="s">
        <v>80</v>
      </c>
      <c r="H117" s="2" t="s">
        <v>61</v>
      </c>
      <c r="I117" s="2">
        <v>4</v>
      </c>
      <c r="J117" s="2">
        <v>31591</v>
      </c>
      <c r="K117" s="2">
        <v>21547.39</v>
      </c>
      <c r="L117" s="2">
        <v>12636.4</v>
      </c>
      <c r="M117" s="2">
        <v>412</v>
      </c>
      <c r="N117" s="2">
        <v>117865.01</v>
      </c>
      <c r="O117" s="2" t="s">
        <v>27</v>
      </c>
      <c r="P117" s="2">
        <v>31003</v>
      </c>
      <c r="Q117" s="2" t="s">
        <v>28</v>
      </c>
      <c r="R117" s="2" t="s">
        <v>29</v>
      </c>
      <c r="S117" s="2">
        <v>10</v>
      </c>
      <c r="T117" s="2">
        <v>3</v>
      </c>
      <c r="U117" s="2" t="str" cm="1">
        <f t="array" ref="U117">_xlfn.IFS(N117&gt;200000,"PEAK SALES",N117&gt;100000,"GOOD SALES",N117&gt;50000,"AVERAGE SALES",N117&lt;50000,"PROFIT",N117&lt;10000,"LOSS")</f>
        <v>GOOD SALES</v>
      </c>
      <c r="V117" s="2">
        <f t="shared" si="1"/>
        <v>3</v>
      </c>
    </row>
    <row r="118" spans="1:22" x14ac:dyDescent="0.25">
      <c r="A118" s="2">
        <v>2117</v>
      </c>
      <c r="B118" s="2" t="s">
        <v>139</v>
      </c>
      <c r="C118" s="2" t="s">
        <v>68</v>
      </c>
      <c r="D118" s="2" t="s">
        <v>73</v>
      </c>
      <c r="E118" s="2" t="s">
        <v>79</v>
      </c>
      <c r="F118" s="2" t="s">
        <v>34</v>
      </c>
      <c r="G118" s="2" t="s">
        <v>80</v>
      </c>
      <c r="H118" s="2" t="s">
        <v>61</v>
      </c>
      <c r="I118" s="2">
        <v>4</v>
      </c>
      <c r="J118" s="2">
        <v>22511</v>
      </c>
      <c r="K118" s="2">
        <v>15917.14</v>
      </c>
      <c r="L118" s="2">
        <v>9004.4</v>
      </c>
      <c r="M118" s="2">
        <v>109</v>
      </c>
      <c r="N118" s="2">
        <v>83240.259999999995</v>
      </c>
      <c r="O118" s="2" t="s">
        <v>27</v>
      </c>
      <c r="P118" s="2">
        <v>23646</v>
      </c>
      <c r="Q118" s="2" t="s">
        <v>52</v>
      </c>
      <c r="R118" s="2" t="s">
        <v>29</v>
      </c>
      <c r="S118" s="2">
        <v>3</v>
      </c>
      <c r="T118" s="2">
        <v>4</v>
      </c>
      <c r="U118" s="2" t="str" cm="1">
        <f t="array" ref="U118">_xlfn.IFS(N118&gt;200000,"PEAK SALES",N118&gt;100000,"GOOD SALES",N118&gt;50000,"AVERAGE SALES",N118&lt;50000,"PROFIT",N118&lt;10000,"LOSS")</f>
        <v>AVERAGE SALES</v>
      </c>
      <c r="V118" s="2">
        <f t="shared" si="1"/>
        <v>3</v>
      </c>
    </row>
    <row r="119" spans="1:22" x14ac:dyDescent="0.25">
      <c r="A119" s="2">
        <v>2118</v>
      </c>
      <c r="B119" s="2" t="s">
        <v>140</v>
      </c>
      <c r="C119" s="2" t="s">
        <v>72</v>
      </c>
      <c r="D119" s="2" t="s">
        <v>32</v>
      </c>
      <c r="E119" s="2" t="s">
        <v>33</v>
      </c>
      <c r="F119" s="2" t="s">
        <v>34</v>
      </c>
      <c r="G119" s="2" t="s">
        <v>35</v>
      </c>
      <c r="H119" s="2" t="s">
        <v>36</v>
      </c>
      <c r="I119" s="2">
        <v>1</v>
      </c>
      <c r="J119" s="2">
        <v>19599</v>
      </c>
      <c r="K119" s="2">
        <v>1096.54</v>
      </c>
      <c r="L119" s="2">
        <v>1959.9</v>
      </c>
      <c r="M119" s="2">
        <v>348</v>
      </c>
      <c r="N119" s="2">
        <v>20810.36</v>
      </c>
      <c r="O119" s="2" t="s">
        <v>27</v>
      </c>
      <c r="P119" s="2">
        <v>2993</v>
      </c>
      <c r="Q119" s="2" t="s">
        <v>63</v>
      </c>
      <c r="R119" s="2" t="s">
        <v>37</v>
      </c>
      <c r="S119" s="2">
        <v>9</v>
      </c>
      <c r="T119" s="2">
        <v>5</v>
      </c>
      <c r="U119" s="2" t="str" cm="1">
        <f t="array" ref="U119">_xlfn.IFS(N119&gt;200000,"PEAK SALES",N119&gt;100000,"GOOD SALES",N119&gt;50000,"AVERAGE SALES",N119&lt;50000,"PROFIT",N119&lt;10000,"LOSS")</f>
        <v>PROFIT</v>
      </c>
      <c r="V119" s="2">
        <f t="shared" si="1"/>
        <v>2</v>
      </c>
    </row>
    <row r="120" spans="1:22" x14ac:dyDescent="0.25">
      <c r="A120" s="2">
        <v>2119</v>
      </c>
      <c r="B120" s="2" t="s">
        <v>108</v>
      </c>
      <c r="C120" s="2" t="s">
        <v>46</v>
      </c>
      <c r="D120" s="2" t="s">
        <v>32</v>
      </c>
      <c r="E120" s="2" t="s">
        <v>79</v>
      </c>
      <c r="F120" s="2" t="s">
        <v>24</v>
      </c>
      <c r="G120" s="2" t="s">
        <v>25</v>
      </c>
      <c r="H120" s="2" t="s">
        <v>26</v>
      </c>
      <c r="I120" s="2">
        <v>4</v>
      </c>
      <c r="J120" s="2">
        <v>33572</v>
      </c>
      <c r="K120" s="2">
        <v>24201.72</v>
      </c>
      <c r="L120" s="2">
        <v>13428.8</v>
      </c>
      <c r="M120" s="2">
        <v>310</v>
      </c>
      <c r="N120" s="2">
        <v>123825.08</v>
      </c>
      <c r="O120" s="2" t="s">
        <v>43</v>
      </c>
      <c r="P120" s="2">
        <v>21955</v>
      </c>
      <c r="Q120" s="2" t="s">
        <v>28</v>
      </c>
      <c r="R120" s="2" t="s">
        <v>29</v>
      </c>
      <c r="S120" s="2">
        <v>8</v>
      </c>
      <c r="T120" s="2">
        <v>3</v>
      </c>
      <c r="U120" s="2" t="str" cm="1">
        <f t="array" ref="U120">_xlfn.IFS(N120&gt;200000,"PEAK SALES",N120&gt;100000,"GOOD SALES",N120&gt;50000,"AVERAGE SALES",N120&lt;50000,"PROFIT",N120&lt;10000,"LOSS")</f>
        <v>GOOD SALES</v>
      </c>
      <c r="V120" s="2">
        <f t="shared" si="1"/>
        <v>1</v>
      </c>
    </row>
    <row r="121" spans="1:22" x14ac:dyDescent="0.25">
      <c r="A121" s="2">
        <v>2120</v>
      </c>
      <c r="B121" s="2" t="s">
        <v>126</v>
      </c>
      <c r="C121" s="2" t="s">
        <v>46</v>
      </c>
      <c r="D121" s="2" t="s">
        <v>73</v>
      </c>
      <c r="E121" s="2" t="s">
        <v>23</v>
      </c>
      <c r="F121" s="2" t="s">
        <v>34</v>
      </c>
      <c r="G121" s="2" t="s">
        <v>80</v>
      </c>
      <c r="H121" s="2" t="s">
        <v>26</v>
      </c>
      <c r="I121" s="2">
        <v>1</v>
      </c>
      <c r="J121" s="2">
        <v>4703</v>
      </c>
      <c r="K121" s="2">
        <v>634.44000000000005</v>
      </c>
      <c r="L121" s="2">
        <v>470.3</v>
      </c>
      <c r="M121" s="2">
        <v>498</v>
      </c>
      <c r="N121" s="2">
        <v>5036.8599999999997</v>
      </c>
      <c r="O121" s="2" t="s">
        <v>50</v>
      </c>
      <c r="P121" s="2">
        <v>1456</v>
      </c>
      <c r="Q121" s="2" t="s">
        <v>28</v>
      </c>
      <c r="R121" s="2" t="s">
        <v>44</v>
      </c>
      <c r="S121" s="2">
        <v>3</v>
      </c>
      <c r="T121" s="2">
        <v>3</v>
      </c>
      <c r="U121" s="2" t="str" cm="1">
        <f t="array" ref="U121">_xlfn.IFS(N121&gt;200000,"PEAK SALES",N121&gt;100000,"GOOD SALES",N121&gt;50000,"AVERAGE SALES",N121&lt;50000,"PROFIT",N121&lt;10000,"LOSS")</f>
        <v>PROFIT</v>
      </c>
      <c r="V121" s="2">
        <f t="shared" si="1"/>
        <v>3</v>
      </c>
    </row>
    <row r="122" spans="1:22" x14ac:dyDescent="0.25">
      <c r="A122" s="2">
        <v>2121</v>
      </c>
      <c r="B122" s="2" t="s">
        <v>141</v>
      </c>
      <c r="C122" s="2" t="s">
        <v>39</v>
      </c>
      <c r="D122" s="2" t="s">
        <v>22</v>
      </c>
      <c r="E122" s="2" t="s">
        <v>40</v>
      </c>
      <c r="F122" s="2" t="s">
        <v>48</v>
      </c>
      <c r="G122" s="2" t="s">
        <v>77</v>
      </c>
      <c r="H122" s="2" t="s">
        <v>42</v>
      </c>
      <c r="I122" s="2">
        <v>3</v>
      </c>
      <c r="J122" s="2">
        <v>35013</v>
      </c>
      <c r="K122" s="2">
        <v>12420.32</v>
      </c>
      <c r="L122" s="2">
        <v>10503.9</v>
      </c>
      <c r="M122" s="2">
        <v>411</v>
      </c>
      <c r="N122" s="2">
        <v>103533.58</v>
      </c>
      <c r="O122" s="2" t="s">
        <v>62</v>
      </c>
      <c r="P122" s="2">
        <v>13895</v>
      </c>
      <c r="Q122" s="2" t="s">
        <v>28</v>
      </c>
      <c r="R122" s="2" t="s">
        <v>29</v>
      </c>
      <c r="S122" s="2">
        <v>5</v>
      </c>
      <c r="T122" s="2">
        <v>2</v>
      </c>
      <c r="U122" s="2" t="str" cm="1">
        <f t="array" ref="U122">_xlfn.IFS(N122&gt;200000,"PEAK SALES",N122&gt;100000,"GOOD SALES",N122&gt;50000,"AVERAGE SALES",N122&lt;50000,"PROFIT",N122&lt;10000,"LOSS")</f>
        <v>GOOD SALES</v>
      </c>
      <c r="V122" s="2">
        <f t="shared" si="1"/>
        <v>1</v>
      </c>
    </row>
    <row r="123" spans="1:22" x14ac:dyDescent="0.25">
      <c r="A123" s="2">
        <v>2122</v>
      </c>
      <c r="B123" s="2" t="s">
        <v>142</v>
      </c>
      <c r="C123" s="2" t="s">
        <v>87</v>
      </c>
      <c r="D123" s="2" t="s">
        <v>32</v>
      </c>
      <c r="E123" s="2" t="s">
        <v>47</v>
      </c>
      <c r="F123" s="2" t="s">
        <v>34</v>
      </c>
      <c r="G123" s="2" t="s">
        <v>35</v>
      </c>
      <c r="H123" s="2" t="s">
        <v>42</v>
      </c>
      <c r="I123" s="2">
        <v>1</v>
      </c>
      <c r="J123" s="2">
        <v>24951</v>
      </c>
      <c r="K123" s="2">
        <v>1767.78</v>
      </c>
      <c r="L123" s="2">
        <v>2495.1</v>
      </c>
      <c r="M123" s="2">
        <v>77</v>
      </c>
      <c r="N123" s="2">
        <v>25755.32</v>
      </c>
      <c r="O123" s="2" t="s">
        <v>43</v>
      </c>
      <c r="P123" s="2">
        <v>6884</v>
      </c>
      <c r="Q123" s="2" t="s">
        <v>28</v>
      </c>
      <c r="R123" s="2" t="s">
        <v>37</v>
      </c>
      <c r="S123" s="2">
        <v>7</v>
      </c>
      <c r="T123" s="2">
        <v>1</v>
      </c>
      <c r="U123" s="2" t="str" cm="1">
        <f t="array" ref="U123">_xlfn.IFS(N123&gt;200000,"PEAK SALES",N123&gt;100000,"GOOD SALES",N123&gt;50000,"AVERAGE SALES",N123&lt;50000,"PROFIT",N123&lt;10000,"LOSS")</f>
        <v>PROFIT</v>
      </c>
      <c r="V123" s="2">
        <f t="shared" si="1"/>
        <v>1</v>
      </c>
    </row>
    <row r="124" spans="1:22" x14ac:dyDescent="0.25">
      <c r="A124" s="2">
        <v>2123</v>
      </c>
      <c r="B124" s="2" t="s">
        <v>143</v>
      </c>
      <c r="C124" s="2" t="s">
        <v>65</v>
      </c>
      <c r="D124" s="2" t="s">
        <v>59</v>
      </c>
      <c r="E124" s="2" t="s">
        <v>54</v>
      </c>
      <c r="F124" s="2" t="s">
        <v>34</v>
      </c>
      <c r="G124" s="2" t="s">
        <v>80</v>
      </c>
      <c r="H124" s="2" t="s">
        <v>36</v>
      </c>
      <c r="I124" s="2">
        <v>5</v>
      </c>
      <c r="J124" s="2">
        <v>4324</v>
      </c>
      <c r="K124" s="2">
        <v>2250.85</v>
      </c>
      <c r="L124" s="2">
        <v>2162</v>
      </c>
      <c r="M124" s="2">
        <v>180</v>
      </c>
      <c r="N124" s="2">
        <v>21711.15</v>
      </c>
      <c r="O124" s="2" t="s">
        <v>27</v>
      </c>
      <c r="P124" s="2">
        <v>6077</v>
      </c>
      <c r="Q124" s="2" t="s">
        <v>52</v>
      </c>
      <c r="R124" s="2" t="s">
        <v>37</v>
      </c>
      <c r="S124" s="2">
        <v>5</v>
      </c>
      <c r="T124" s="2">
        <v>2</v>
      </c>
      <c r="U124" s="2" t="str" cm="1">
        <f t="array" ref="U124">_xlfn.IFS(N124&gt;200000,"PEAK SALES",N124&gt;100000,"GOOD SALES",N124&gt;50000,"AVERAGE SALES",N124&lt;50000,"PROFIT",N124&lt;10000,"LOSS")</f>
        <v>PROFIT</v>
      </c>
      <c r="V124" s="2">
        <f t="shared" si="1"/>
        <v>2</v>
      </c>
    </row>
    <row r="125" spans="1:22" x14ac:dyDescent="0.25">
      <c r="A125" s="2">
        <v>2124</v>
      </c>
      <c r="B125" s="2" t="s">
        <v>140</v>
      </c>
      <c r="C125" s="2" t="s">
        <v>58</v>
      </c>
      <c r="D125" s="2" t="s">
        <v>32</v>
      </c>
      <c r="E125" s="2" t="s">
        <v>56</v>
      </c>
      <c r="F125" s="2" t="s">
        <v>24</v>
      </c>
      <c r="G125" s="2" t="s">
        <v>25</v>
      </c>
      <c r="H125" s="2" t="s">
        <v>42</v>
      </c>
      <c r="I125" s="2">
        <v>5</v>
      </c>
      <c r="J125" s="2">
        <v>49723</v>
      </c>
      <c r="K125" s="2">
        <v>20314.849999999999</v>
      </c>
      <c r="L125" s="2">
        <v>24861.5</v>
      </c>
      <c r="M125" s="2">
        <v>307</v>
      </c>
      <c r="N125" s="2">
        <v>253468.65</v>
      </c>
      <c r="O125" s="2" t="s">
        <v>62</v>
      </c>
      <c r="P125" s="2">
        <v>46497</v>
      </c>
      <c r="Q125" s="2" t="s">
        <v>63</v>
      </c>
      <c r="R125" s="2" t="s">
        <v>29</v>
      </c>
      <c r="S125" s="2">
        <v>2</v>
      </c>
      <c r="T125" s="2">
        <v>3</v>
      </c>
      <c r="U125" s="2" t="str" cm="1">
        <f t="array" ref="U125">_xlfn.IFS(N125&gt;200000,"PEAK SALES",N125&gt;100000,"GOOD SALES",N125&gt;50000,"AVERAGE SALES",N125&lt;50000,"PROFIT",N125&lt;10000,"LOSS")</f>
        <v>PEAK SALES</v>
      </c>
      <c r="V125" s="2">
        <f t="shared" si="1"/>
        <v>2</v>
      </c>
    </row>
    <row r="126" spans="1:22" x14ac:dyDescent="0.25">
      <c r="A126" s="2">
        <v>2125</v>
      </c>
      <c r="B126" s="2" t="s">
        <v>144</v>
      </c>
      <c r="C126" s="2" t="s">
        <v>39</v>
      </c>
      <c r="D126" s="2" t="s">
        <v>32</v>
      </c>
      <c r="E126" s="2" t="s">
        <v>54</v>
      </c>
      <c r="F126" s="2" t="s">
        <v>24</v>
      </c>
      <c r="G126" s="2" t="s">
        <v>25</v>
      </c>
      <c r="H126" s="2" t="s">
        <v>61</v>
      </c>
      <c r="I126" s="2">
        <v>4</v>
      </c>
      <c r="J126" s="2">
        <v>26447</v>
      </c>
      <c r="K126" s="2">
        <v>14005.2</v>
      </c>
      <c r="L126" s="2">
        <v>10578.8</v>
      </c>
      <c r="M126" s="2">
        <v>79</v>
      </c>
      <c r="N126" s="2">
        <v>102440.6</v>
      </c>
      <c r="O126" s="2" t="s">
        <v>27</v>
      </c>
      <c r="P126" s="2">
        <v>15377</v>
      </c>
      <c r="Q126" s="2" t="s">
        <v>52</v>
      </c>
      <c r="R126" s="2" t="s">
        <v>37</v>
      </c>
      <c r="S126" s="2">
        <v>9</v>
      </c>
      <c r="T126" s="2">
        <v>4</v>
      </c>
      <c r="U126" s="2" t="str" cm="1">
        <f t="array" ref="U126">_xlfn.IFS(N126&gt;200000,"PEAK SALES",N126&gt;100000,"GOOD SALES",N126&gt;50000,"AVERAGE SALES",N126&lt;50000,"PROFIT",N126&lt;10000,"LOSS")</f>
        <v>GOOD SALES</v>
      </c>
      <c r="V126" s="2">
        <f t="shared" si="1"/>
        <v>3</v>
      </c>
    </row>
    <row r="127" spans="1:22" x14ac:dyDescent="0.25">
      <c r="A127" s="2">
        <v>2126</v>
      </c>
      <c r="B127" s="2" t="s">
        <v>92</v>
      </c>
      <c r="C127" s="2" t="s">
        <v>75</v>
      </c>
      <c r="D127" s="2" t="s">
        <v>59</v>
      </c>
      <c r="E127" s="2" t="s">
        <v>23</v>
      </c>
      <c r="F127" s="2" t="s">
        <v>48</v>
      </c>
      <c r="G127" s="2" t="s">
        <v>77</v>
      </c>
      <c r="H127" s="2" t="s">
        <v>61</v>
      </c>
      <c r="I127" s="2">
        <v>4</v>
      </c>
      <c r="J127" s="2">
        <v>2289</v>
      </c>
      <c r="K127" s="2">
        <v>1309.1099999999999</v>
      </c>
      <c r="L127" s="2">
        <v>915.6</v>
      </c>
      <c r="M127" s="2">
        <v>316</v>
      </c>
      <c r="N127" s="2">
        <v>9078.49</v>
      </c>
      <c r="O127" s="2" t="s">
        <v>43</v>
      </c>
      <c r="P127" s="2">
        <v>2567</v>
      </c>
      <c r="Q127" s="2" t="s">
        <v>28</v>
      </c>
      <c r="R127" s="2" t="s">
        <v>44</v>
      </c>
      <c r="S127" s="2">
        <v>3</v>
      </c>
      <c r="T127" s="2">
        <v>2</v>
      </c>
      <c r="U127" s="2" t="str" cm="1">
        <f t="array" ref="U127">_xlfn.IFS(N127&gt;200000,"PEAK SALES",N127&gt;100000,"GOOD SALES",N127&gt;50000,"AVERAGE SALES",N127&lt;50000,"PROFIT",N127&lt;10000,"LOSS")</f>
        <v>PROFIT</v>
      </c>
      <c r="V127" s="2">
        <f t="shared" si="1"/>
        <v>1</v>
      </c>
    </row>
    <row r="128" spans="1:22" x14ac:dyDescent="0.25">
      <c r="A128" s="2">
        <v>2127</v>
      </c>
      <c r="B128" s="2" t="s">
        <v>128</v>
      </c>
      <c r="C128" s="2" t="s">
        <v>46</v>
      </c>
      <c r="D128" s="2" t="s">
        <v>22</v>
      </c>
      <c r="E128" s="2" t="s">
        <v>54</v>
      </c>
      <c r="F128" s="2" t="s">
        <v>34</v>
      </c>
      <c r="G128" s="2" t="s">
        <v>80</v>
      </c>
      <c r="H128" s="2" t="s">
        <v>61</v>
      </c>
      <c r="I128" s="2">
        <v>5</v>
      </c>
      <c r="J128" s="2">
        <v>1466</v>
      </c>
      <c r="K128" s="2">
        <v>690.1</v>
      </c>
      <c r="L128" s="2">
        <v>733</v>
      </c>
      <c r="M128" s="2">
        <v>156</v>
      </c>
      <c r="N128" s="2">
        <v>7528.9</v>
      </c>
      <c r="O128" s="2" t="s">
        <v>62</v>
      </c>
      <c r="P128" s="2">
        <v>1458</v>
      </c>
      <c r="Q128" s="2" t="s">
        <v>28</v>
      </c>
      <c r="R128" s="2" t="s">
        <v>29</v>
      </c>
      <c r="S128" s="2">
        <v>6</v>
      </c>
      <c r="T128" s="2">
        <v>1</v>
      </c>
      <c r="U128" s="2" t="str" cm="1">
        <f t="array" ref="U128">_xlfn.IFS(N128&gt;200000,"PEAK SALES",N128&gt;100000,"GOOD SALES",N128&gt;50000,"AVERAGE SALES",N128&lt;50000,"PROFIT",N128&lt;10000,"LOSS")</f>
        <v>PROFIT</v>
      </c>
      <c r="V128" s="2">
        <f t="shared" si="1"/>
        <v>2</v>
      </c>
    </row>
    <row r="129" spans="1:22" x14ac:dyDescent="0.25">
      <c r="A129" s="2">
        <v>2128</v>
      </c>
      <c r="B129" s="2" t="s">
        <v>83</v>
      </c>
      <c r="C129" s="2" t="s">
        <v>46</v>
      </c>
      <c r="D129" s="2" t="s">
        <v>73</v>
      </c>
      <c r="E129" s="2" t="s">
        <v>103</v>
      </c>
      <c r="F129" s="2" t="s">
        <v>24</v>
      </c>
      <c r="G129" s="2" t="s">
        <v>25</v>
      </c>
      <c r="H129" s="2" t="s">
        <v>42</v>
      </c>
      <c r="I129" s="2">
        <v>4</v>
      </c>
      <c r="J129" s="2">
        <v>17279</v>
      </c>
      <c r="K129" s="2">
        <v>11847.21</v>
      </c>
      <c r="L129" s="2">
        <v>6911.6</v>
      </c>
      <c r="M129" s="2">
        <v>95</v>
      </c>
      <c r="N129" s="2">
        <v>64275.39</v>
      </c>
      <c r="O129" s="2" t="s">
        <v>62</v>
      </c>
      <c r="P129" s="2">
        <v>8039</v>
      </c>
      <c r="Q129" s="2" t="s">
        <v>28</v>
      </c>
      <c r="R129" s="2" t="s">
        <v>29</v>
      </c>
      <c r="S129" s="2">
        <v>7</v>
      </c>
      <c r="T129" s="2">
        <v>1</v>
      </c>
      <c r="U129" s="2" t="str" cm="1">
        <f t="array" ref="U129">_xlfn.IFS(N129&gt;200000,"PEAK SALES",N129&gt;100000,"GOOD SALES",N129&gt;50000,"AVERAGE SALES",N129&lt;50000,"PROFIT",N129&lt;10000,"LOSS")</f>
        <v>AVERAGE SALES</v>
      </c>
      <c r="V129" s="2">
        <f t="shared" si="1"/>
        <v>1</v>
      </c>
    </row>
    <row r="130" spans="1:22" x14ac:dyDescent="0.25">
      <c r="A130" s="2">
        <v>2129</v>
      </c>
      <c r="B130" s="2" t="s">
        <v>144</v>
      </c>
      <c r="C130" s="2" t="s">
        <v>39</v>
      </c>
      <c r="D130" s="2" t="s">
        <v>59</v>
      </c>
      <c r="E130" s="2" t="s">
        <v>40</v>
      </c>
      <c r="F130" s="2" t="s">
        <v>24</v>
      </c>
      <c r="G130" s="2" t="s">
        <v>69</v>
      </c>
      <c r="H130" s="2" t="s">
        <v>36</v>
      </c>
      <c r="I130" s="2">
        <v>1</v>
      </c>
      <c r="J130" s="2">
        <v>8832</v>
      </c>
      <c r="K130" s="2">
        <v>588.32000000000005</v>
      </c>
      <c r="L130" s="2">
        <v>883.2</v>
      </c>
      <c r="M130" s="2">
        <v>361</v>
      </c>
      <c r="N130" s="2">
        <v>9487.880000000001</v>
      </c>
      <c r="O130" s="2" t="s">
        <v>43</v>
      </c>
      <c r="P130" s="2">
        <v>1379</v>
      </c>
      <c r="Q130" s="2" t="s">
        <v>52</v>
      </c>
      <c r="R130" s="2" t="s">
        <v>37</v>
      </c>
      <c r="S130" s="2">
        <v>10</v>
      </c>
      <c r="T130" s="2">
        <v>3</v>
      </c>
      <c r="U130" s="2" t="str" cm="1">
        <f t="array" ref="U130">_xlfn.IFS(N130&gt;200000,"PEAK SALES",N130&gt;100000,"GOOD SALES",N130&gt;50000,"AVERAGE SALES",N130&lt;50000,"PROFIT",N130&lt;10000,"LOSS")</f>
        <v>PROFIT</v>
      </c>
      <c r="V130" s="2">
        <f t="shared" si="1"/>
        <v>3</v>
      </c>
    </row>
    <row r="131" spans="1:22" x14ac:dyDescent="0.25">
      <c r="A131" s="2">
        <v>2130</v>
      </c>
      <c r="B131" s="2" t="s">
        <v>96</v>
      </c>
      <c r="C131" s="2" t="s">
        <v>31</v>
      </c>
      <c r="D131" s="2" t="s">
        <v>59</v>
      </c>
      <c r="E131" s="2" t="s">
        <v>79</v>
      </c>
      <c r="F131" s="2" t="s">
        <v>48</v>
      </c>
      <c r="G131" s="2" t="s">
        <v>49</v>
      </c>
      <c r="H131" s="2" t="s">
        <v>42</v>
      </c>
      <c r="I131" s="2">
        <v>1</v>
      </c>
      <c r="J131" s="2">
        <v>8942</v>
      </c>
      <c r="K131" s="2">
        <v>580.49</v>
      </c>
      <c r="L131" s="2">
        <v>894.2</v>
      </c>
      <c r="M131" s="2">
        <v>395</v>
      </c>
      <c r="N131" s="2">
        <v>9650.7100000000009</v>
      </c>
      <c r="O131" s="2" t="s">
        <v>27</v>
      </c>
      <c r="P131" s="2">
        <v>1750</v>
      </c>
      <c r="Q131" s="2" t="s">
        <v>63</v>
      </c>
      <c r="R131" s="2" t="s">
        <v>29</v>
      </c>
      <c r="S131" s="2">
        <v>2</v>
      </c>
      <c r="T131" s="2">
        <v>1</v>
      </c>
      <c r="U131" s="2" t="str" cm="1">
        <f t="array" ref="U131">_xlfn.IFS(N131&gt;200000,"PEAK SALES",N131&gt;100000,"GOOD SALES",N131&gt;50000,"AVERAGE SALES",N131&lt;50000,"PROFIT",N131&lt;10000,"LOSS")</f>
        <v>PROFIT</v>
      </c>
      <c r="V131" s="2">
        <f t="shared" ref="V131:V194" si="2">MONTH(B131)</f>
        <v>4</v>
      </c>
    </row>
    <row r="132" spans="1:22" x14ac:dyDescent="0.25">
      <c r="A132" s="2">
        <v>2131</v>
      </c>
      <c r="B132" s="2" t="s">
        <v>83</v>
      </c>
      <c r="C132" s="2" t="s">
        <v>72</v>
      </c>
      <c r="D132" s="2" t="s">
        <v>22</v>
      </c>
      <c r="E132" s="2" t="s">
        <v>33</v>
      </c>
      <c r="F132" s="2" t="s">
        <v>24</v>
      </c>
      <c r="G132" s="2" t="s">
        <v>25</v>
      </c>
      <c r="H132" s="2" t="s">
        <v>36</v>
      </c>
      <c r="I132" s="2">
        <v>3</v>
      </c>
      <c r="J132" s="2">
        <v>14387</v>
      </c>
      <c r="K132" s="2">
        <v>5853.11</v>
      </c>
      <c r="L132" s="2">
        <v>4316.1000000000004</v>
      </c>
      <c r="M132" s="2">
        <v>180</v>
      </c>
      <c r="N132" s="2">
        <v>41803.99</v>
      </c>
      <c r="O132" s="2" t="s">
        <v>43</v>
      </c>
      <c r="P132" s="2">
        <v>7186</v>
      </c>
      <c r="Q132" s="2" t="s">
        <v>52</v>
      </c>
      <c r="R132" s="2" t="s">
        <v>44</v>
      </c>
      <c r="S132" s="2">
        <v>1</v>
      </c>
      <c r="T132" s="2">
        <v>4</v>
      </c>
      <c r="U132" s="2" t="str" cm="1">
        <f t="array" ref="U132">_xlfn.IFS(N132&gt;200000,"PEAK SALES",N132&gt;100000,"GOOD SALES",N132&gt;50000,"AVERAGE SALES",N132&lt;50000,"PROFIT",N132&lt;10000,"LOSS")</f>
        <v>PROFIT</v>
      </c>
      <c r="V132" s="2">
        <f t="shared" si="2"/>
        <v>1</v>
      </c>
    </row>
    <row r="133" spans="1:22" x14ac:dyDescent="0.25">
      <c r="A133" s="2">
        <v>2132</v>
      </c>
      <c r="B133" s="2" t="s">
        <v>71</v>
      </c>
      <c r="C133" s="2" t="s">
        <v>58</v>
      </c>
      <c r="D133" s="2" t="s">
        <v>59</v>
      </c>
      <c r="E133" s="2" t="s">
        <v>54</v>
      </c>
      <c r="F133" s="2" t="s">
        <v>34</v>
      </c>
      <c r="G133" s="2" t="s">
        <v>35</v>
      </c>
      <c r="H133" s="2" t="s">
        <v>26</v>
      </c>
      <c r="I133" s="2">
        <v>1</v>
      </c>
      <c r="J133" s="2">
        <v>33335</v>
      </c>
      <c r="K133" s="2">
        <v>6257.12</v>
      </c>
      <c r="L133" s="2">
        <v>3333.5</v>
      </c>
      <c r="M133" s="2">
        <v>407</v>
      </c>
      <c r="N133" s="2">
        <v>30818.38</v>
      </c>
      <c r="O133" s="2" t="s">
        <v>50</v>
      </c>
      <c r="P133" s="2">
        <v>5142</v>
      </c>
      <c r="Q133" s="2" t="s">
        <v>63</v>
      </c>
      <c r="R133" s="2" t="s">
        <v>37</v>
      </c>
      <c r="S133" s="2">
        <v>7</v>
      </c>
      <c r="T133" s="2">
        <v>4</v>
      </c>
      <c r="U133" s="2" t="str" cm="1">
        <f t="array" ref="U133">_xlfn.IFS(N133&gt;200000,"PEAK SALES",N133&gt;100000,"GOOD SALES",N133&gt;50000,"AVERAGE SALES",N133&lt;50000,"PROFIT",N133&lt;10000,"LOSS")</f>
        <v>PROFIT</v>
      </c>
      <c r="V133" s="2">
        <f t="shared" si="2"/>
        <v>3</v>
      </c>
    </row>
    <row r="134" spans="1:22" x14ac:dyDescent="0.25">
      <c r="A134" s="2">
        <v>2133</v>
      </c>
      <c r="B134" s="2" t="s">
        <v>104</v>
      </c>
      <c r="C134" s="2" t="s">
        <v>87</v>
      </c>
      <c r="D134" s="2" t="s">
        <v>32</v>
      </c>
      <c r="E134" s="2" t="s">
        <v>33</v>
      </c>
      <c r="F134" s="2" t="s">
        <v>48</v>
      </c>
      <c r="G134" s="2" t="s">
        <v>49</v>
      </c>
      <c r="H134" s="2" t="s">
        <v>26</v>
      </c>
      <c r="I134" s="2">
        <v>3</v>
      </c>
      <c r="J134" s="2">
        <v>57439</v>
      </c>
      <c r="K134" s="2">
        <v>29352.23</v>
      </c>
      <c r="L134" s="2">
        <v>17231.7</v>
      </c>
      <c r="M134" s="2">
        <v>398</v>
      </c>
      <c r="N134" s="2">
        <v>160594.47</v>
      </c>
      <c r="O134" s="2" t="s">
        <v>62</v>
      </c>
      <c r="P134" s="2">
        <v>25841</v>
      </c>
      <c r="Q134" s="2" t="s">
        <v>28</v>
      </c>
      <c r="R134" s="2" t="s">
        <v>37</v>
      </c>
      <c r="S134" s="2">
        <v>3</v>
      </c>
      <c r="T134" s="2">
        <v>5</v>
      </c>
      <c r="U134" s="2" t="str" cm="1">
        <f t="array" ref="U134">_xlfn.IFS(N134&gt;200000,"PEAK SALES",N134&gt;100000,"GOOD SALES",N134&gt;50000,"AVERAGE SALES",N134&lt;50000,"PROFIT",N134&lt;10000,"LOSS")</f>
        <v>GOOD SALES</v>
      </c>
      <c r="V134" s="2">
        <f t="shared" si="2"/>
        <v>3</v>
      </c>
    </row>
    <row r="135" spans="1:22" x14ac:dyDescent="0.25">
      <c r="A135" s="2">
        <v>2134</v>
      </c>
      <c r="B135" s="2" t="s">
        <v>113</v>
      </c>
      <c r="C135" s="2" t="s">
        <v>65</v>
      </c>
      <c r="D135" s="2" t="s">
        <v>73</v>
      </c>
      <c r="E135" s="2" t="s">
        <v>103</v>
      </c>
      <c r="F135" s="2" t="s">
        <v>48</v>
      </c>
      <c r="G135" s="2" t="s">
        <v>66</v>
      </c>
      <c r="H135" s="2" t="s">
        <v>36</v>
      </c>
      <c r="I135" s="2">
        <v>2</v>
      </c>
      <c r="J135" s="2">
        <v>42742</v>
      </c>
      <c r="K135" s="2">
        <v>16764.27</v>
      </c>
      <c r="L135" s="2">
        <v>8548.4</v>
      </c>
      <c r="M135" s="2">
        <v>258</v>
      </c>
      <c r="N135" s="2">
        <v>77526.12999999999</v>
      </c>
      <c r="O135" s="2" t="s">
        <v>62</v>
      </c>
      <c r="P135" s="2">
        <v>15457</v>
      </c>
      <c r="Q135" s="2" t="s">
        <v>63</v>
      </c>
      <c r="R135" s="2" t="s">
        <v>37</v>
      </c>
      <c r="S135" s="2">
        <v>9</v>
      </c>
      <c r="T135" s="2">
        <v>4</v>
      </c>
      <c r="U135" s="2" t="str" cm="1">
        <f t="array" ref="U135">_xlfn.IFS(N135&gt;200000,"PEAK SALES",N135&gt;100000,"GOOD SALES",N135&gt;50000,"AVERAGE SALES",N135&lt;50000,"PROFIT",N135&lt;10000,"LOSS")</f>
        <v>AVERAGE SALES</v>
      </c>
      <c r="V135" s="2">
        <f t="shared" si="2"/>
        <v>4</v>
      </c>
    </row>
    <row r="136" spans="1:22" x14ac:dyDescent="0.25">
      <c r="A136" s="2">
        <v>2135</v>
      </c>
      <c r="B136" s="2" t="s">
        <v>64</v>
      </c>
      <c r="C136" s="2" t="s">
        <v>58</v>
      </c>
      <c r="D136" s="2" t="s">
        <v>73</v>
      </c>
      <c r="E136" s="2" t="s">
        <v>103</v>
      </c>
      <c r="F136" s="2" t="s">
        <v>48</v>
      </c>
      <c r="G136" s="2" t="s">
        <v>49</v>
      </c>
      <c r="H136" s="2" t="s">
        <v>26</v>
      </c>
      <c r="I136" s="2">
        <v>5</v>
      </c>
      <c r="J136" s="2">
        <v>6119</v>
      </c>
      <c r="K136" s="2">
        <v>1826.01</v>
      </c>
      <c r="L136" s="2">
        <v>3059.5</v>
      </c>
      <c r="M136" s="2">
        <v>205</v>
      </c>
      <c r="N136" s="2">
        <v>32033.49</v>
      </c>
      <c r="O136" s="2" t="s">
        <v>50</v>
      </c>
      <c r="P136" s="2">
        <v>6671</v>
      </c>
      <c r="Q136" s="2" t="s">
        <v>52</v>
      </c>
      <c r="R136" s="2" t="s">
        <v>29</v>
      </c>
      <c r="S136" s="2">
        <v>1</v>
      </c>
      <c r="T136" s="2">
        <v>3</v>
      </c>
      <c r="U136" s="2" t="str" cm="1">
        <f t="array" ref="U136">_xlfn.IFS(N136&gt;200000,"PEAK SALES",N136&gt;100000,"GOOD SALES",N136&gt;50000,"AVERAGE SALES",N136&lt;50000,"PROFIT",N136&lt;10000,"LOSS")</f>
        <v>PROFIT</v>
      </c>
      <c r="V136" s="2">
        <f t="shared" si="2"/>
        <v>1</v>
      </c>
    </row>
    <row r="137" spans="1:22" x14ac:dyDescent="0.25">
      <c r="A137" s="2">
        <v>2136</v>
      </c>
      <c r="B137" s="2" t="s">
        <v>20</v>
      </c>
      <c r="C137" s="2" t="s">
        <v>72</v>
      </c>
      <c r="D137" s="2" t="s">
        <v>73</v>
      </c>
      <c r="E137" s="2" t="s">
        <v>33</v>
      </c>
      <c r="F137" s="2" t="s">
        <v>24</v>
      </c>
      <c r="G137" s="2" t="s">
        <v>69</v>
      </c>
      <c r="H137" s="2" t="s">
        <v>42</v>
      </c>
      <c r="I137" s="2">
        <v>1</v>
      </c>
      <c r="J137" s="2">
        <v>30321</v>
      </c>
      <c r="K137" s="2">
        <v>4975.0200000000004</v>
      </c>
      <c r="L137" s="2">
        <v>3032.1</v>
      </c>
      <c r="M137" s="2">
        <v>373</v>
      </c>
      <c r="N137" s="2">
        <v>28751.08</v>
      </c>
      <c r="O137" s="2" t="s">
        <v>43</v>
      </c>
      <c r="P137" s="2">
        <v>6696</v>
      </c>
      <c r="Q137" s="2" t="s">
        <v>63</v>
      </c>
      <c r="R137" s="2" t="s">
        <v>37</v>
      </c>
      <c r="S137" s="2">
        <v>8</v>
      </c>
      <c r="T137" s="2">
        <v>2</v>
      </c>
      <c r="U137" s="2" t="str" cm="1">
        <f t="array" ref="U137">_xlfn.IFS(N137&gt;200000,"PEAK SALES",N137&gt;100000,"GOOD SALES",N137&gt;50000,"AVERAGE SALES",N137&lt;50000,"PROFIT",N137&lt;10000,"LOSS")</f>
        <v>PROFIT</v>
      </c>
      <c r="V137" s="2">
        <f t="shared" si="2"/>
        <v>3</v>
      </c>
    </row>
    <row r="138" spans="1:22" x14ac:dyDescent="0.25">
      <c r="A138" s="2">
        <v>2137</v>
      </c>
      <c r="B138" s="2" t="s">
        <v>135</v>
      </c>
      <c r="C138" s="2" t="s">
        <v>58</v>
      </c>
      <c r="D138" s="2" t="s">
        <v>73</v>
      </c>
      <c r="E138" s="2" t="s">
        <v>47</v>
      </c>
      <c r="F138" s="2" t="s">
        <v>24</v>
      </c>
      <c r="G138" s="2" t="s">
        <v>94</v>
      </c>
      <c r="H138" s="2" t="s">
        <v>42</v>
      </c>
      <c r="I138" s="2">
        <v>5</v>
      </c>
      <c r="J138" s="2">
        <v>934</v>
      </c>
      <c r="K138" s="2">
        <v>416.33</v>
      </c>
      <c r="L138" s="2">
        <v>467</v>
      </c>
      <c r="M138" s="2">
        <v>167</v>
      </c>
      <c r="N138" s="2">
        <v>4887.67</v>
      </c>
      <c r="O138" s="2" t="s">
        <v>62</v>
      </c>
      <c r="P138" s="2">
        <v>1359</v>
      </c>
      <c r="Q138" s="2" t="s">
        <v>28</v>
      </c>
      <c r="R138" s="2" t="s">
        <v>37</v>
      </c>
      <c r="S138" s="2">
        <v>5</v>
      </c>
      <c r="T138" s="2">
        <v>1</v>
      </c>
      <c r="U138" s="2" t="str" cm="1">
        <f t="array" ref="U138">_xlfn.IFS(N138&gt;200000,"PEAK SALES",N138&gt;100000,"GOOD SALES",N138&gt;50000,"AVERAGE SALES",N138&lt;50000,"PROFIT",N138&lt;10000,"LOSS")</f>
        <v>PROFIT</v>
      </c>
      <c r="V138" s="2">
        <f t="shared" si="2"/>
        <v>3</v>
      </c>
    </row>
    <row r="139" spans="1:22" x14ac:dyDescent="0.25">
      <c r="A139" s="2">
        <v>2138</v>
      </c>
      <c r="B139" s="2" t="s">
        <v>126</v>
      </c>
      <c r="C139" s="2" t="s">
        <v>75</v>
      </c>
      <c r="D139" s="2" t="s">
        <v>59</v>
      </c>
      <c r="E139" s="2" t="s">
        <v>23</v>
      </c>
      <c r="F139" s="2" t="s">
        <v>34</v>
      </c>
      <c r="G139" s="2" t="s">
        <v>35</v>
      </c>
      <c r="H139" s="2" t="s">
        <v>26</v>
      </c>
      <c r="I139" s="2">
        <v>2</v>
      </c>
      <c r="J139" s="2">
        <v>57073</v>
      </c>
      <c r="K139" s="2">
        <v>7502.56</v>
      </c>
      <c r="L139" s="2">
        <v>11414.6</v>
      </c>
      <c r="M139" s="2">
        <v>72</v>
      </c>
      <c r="N139" s="2">
        <v>118130.04</v>
      </c>
      <c r="O139" s="2" t="s">
        <v>50</v>
      </c>
      <c r="P139" s="2">
        <v>25201</v>
      </c>
      <c r="Q139" s="2" t="s">
        <v>52</v>
      </c>
      <c r="R139" s="2" t="s">
        <v>44</v>
      </c>
      <c r="S139" s="2">
        <v>5</v>
      </c>
      <c r="T139" s="2">
        <v>1</v>
      </c>
      <c r="U139" s="2" t="str" cm="1">
        <f t="array" ref="U139">_xlfn.IFS(N139&gt;200000,"PEAK SALES",N139&gt;100000,"GOOD SALES",N139&gt;50000,"AVERAGE SALES",N139&lt;50000,"PROFIT",N139&lt;10000,"LOSS")</f>
        <v>GOOD SALES</v>
      </c>
      <c r="V139" s="2">
        <f t="shared" si="2"/>
        <v>3</v>
      </c>
    </row>
    <row r="140" spans="1:22" x14ac:dyDescent="0.25">
      <c r="A140" s="2">
        <v>2139</v>
      </c>
      <c r="B140" s="2" t="s">
        <v>145</v>
      </c>
      <c r="C140" s="2" t="s">
        <v>58</v>
      </c>
      <c r="D140" s="2" t="s">
        <v>73</v>
      </c>
      <c r="E140" s="2" t="s">
        <v>33</v>
      </c>
      <c r="F140" s="2" t="s">
        <v>34</v>
      </c>
      <c r="G140" s="2" t="s">
        <v>35</v>
      </c>
      <c r="H140" s="2" t="s">
        <v>26</v>
      </c>
      <c r="I140" s="2">
        <v>4</v>
      </c>
      <c r="J140" s="2">
        <v>42254</v>
      </c>
      <c r="K140" s="2">
        <v>30533.27</v>
      </c>
      <c r="L140" s="2">
        <v>16901.599999999999</v>
      </c>
      <c r="M140" s="2">
        <v>301</v>
      </c>
      <c r="N140" s="2">
        <v>155685.32999999999</v>
      </c>
      <c r="O140" s="2" t="s">
        <v>27</v>
      </c>
      <c r="P140" s="2">
        <v>22455</v>
      </c>
      <c r="Q140" s="2" t="s">
        <v>28</v>
      </c>
      <c r="R140" s="2" t="s">
        <v>29</v>
      </c>
      <c r="S140" s="2">
        <v>3</v>
      </c>
      <c r="T140" s="2">
        <v>2</v>
      </c>
      <c r="U140" s="2" t="str" cm="1">
        <f t="array" ref="U140">_xlfn.IFS(N140&gt;200000,"PEAK SALES",N140&gt;100000,"GOOD SALES",N140&gt;50000,"AVERAGE SALES",N140&lt;50000,"PROFIT",N140&lt;10000,"LOSS")</f>
        <v>GOOD SALES</v>
      </c>
      <c r="V140" s="2">
        <f t="shared" si="2"/>
        <v>4</v>
      </c>
    </row>
    <row r="141" spans="1:22" x14ac:dyDescent="0.25">
      <c r="A141" s="2">
        <v>2140</v>
      </c>
      <c r="B141" s="2" t="s">
        <v>133</v>
      </c>
      <c r="C141" s="2" t="s">
        <v>46</v>
      </c>
      <c r="D141" s="2" t="s">
        <v>32</v>
      </c>
      <c r="E141" s="2" t="s">
        <v>33</v>
      </c>
      <c r="F141" s="2" t="s">
        <v>34</v>
      </c>
      <c r="G141" s="2" t="s">
        <v>35</v>
      </c>
      <c r="H141" s="2" t="s">
        <v>26</v>
      </c>
      <c r="I141" s="2">
        <v>4</v>
      </c>
      <c r="J141" s="2">
        <v>27492</v>
      </c>
      <c r="K141" s="2">
        <v>8489.41</v>
      </c>
      <c r="L141" s="2">
        <v>10996.8</v>
      </c>
      <c r="M141" s="2">
        <v>60</v>
      </c>
      <c r="N141" s="2">
        <v>112535.39</v>
      </c>
      <c r="O141" s="2" t="s">
        <v>50</v>
      </c>
      <c r="P141" s="2">
        <v>29154</v>
      </c>
      <c r="Q141" s="2" t="s">
        <v>52</v>
      </c>
      <c r="R141" s="2" t="s">
        <v>29</v>
      </c>
      <c r="S141" s="2">
        <v>10</v>
      </c>
      <c r="T141" s="2">
        <v>5</v>
      </c>
      <c r="U141" s="2" t="str" cm="1">
        <f t="array" ref="U141">_xlfn.IFS(N141&gt;200000,"PEAK SALES",N141&gt;100000,"GOOD SALES",N141&gt;50000,"AVERAGE SALES",N141&lt;50000,"PROFIT",N141&lt;10000,"LOSS")</f>
        <v>GOOD SALES</v>
      </c>
      <c r="V141" s="2">
        <f t="shared" si="2"/>
        <v>2</v>
      </c>
    </row>
    <row r="142" spans="1:22" x14ac:dyDescent="0.25">
      <c r="A142" s="2">
        <v>2141</v>
      </c>
      <c r="B142" s="2" t="s">
        <v>115</v>
      </c>
      <c r="C142" s="2" t="s">
        <v>87</v>
      </c>
      <c r="D142" s="2" t="s">
        <v>32</v>
      </c>
      <c r="E142" s="2" t="s">
        <v>47</v>
      </c>
      <c r="F142" s="2" t="s">
        <v>24</v>
      </c>
      <c r="G142" s="2" t="s">
        <v>69</v>
      </c>
      <c r="H142" s="2" t="s">
        <v>36</v>
      </c>
      <c r="I142" s="2">
        <v>1</v>
      </c>
      <c r="J142" s="2">
        <v>48856</v>
      </c>
      <c r="K142" s="2">
        <v>4404.25</v>
      </c>
      <c r="L142" s="2">
        <v>4885.6000000000004</v>
      </c>
      <c r="M142" s="2">
        <v>417</v>
      </c>
      <c r="N142" s="2">
        <v>49754.35</v>
      </c>
      <c r="O142" s="2" t="s">
        <v>50</v>
      </c>
      <c r="P142" s="2">
        <v>9139</v>
      </c>
      <c r="Q142" s="2" t="s">
        <v>28</v>
      </c>
      <c r="R142" s="2" t="s">
        <v>44</v>
      </c>
      <c r="S142" s="2">
        <v>4</v>
      </c>
      <c r="T142" s="2">
        <v>5</v>
      </c>
      <c r="U142" s="2" t="str" cm="1">
        <f t="array" ref="U142">_xlfn.IFS(N142&gt;200000,"PEAK SALES",N142&gt;100000,"GOOD SALES",N142&gt;50000,"AVERAGE SALES",N142&lt;50000,"PROFIT",N142&lt;10000,"LOSS")</f>
        <v>PROFIT</v>
      </c>
      <c r="V142" s="2">
        <f t="shared" si="2"/>
        <v>1</v>
      </c>
    </row>
    <row r="143" spans="1:22" x14ac:dyDescent="0.25">
      <c r="A143" s="2">
        <v>2142</v>
      </c>
      <c r="B143" s="2" t="s">
        <v>146</v>
      </c>
      <c r="C143" s="2" t="s">
        <v>39</v>
      </c>
      <c r="D143" s="2" t="s">
        <v>22</v>
      </c>
      <c r="E143" s="2" t="s">
        <v>23</v>
      </c>
      <c r="F143" s="2" t="s">
        <v>24</v>
      </c>
      <c r="G143" s="2" t="s">
        <v>69</v>
      </c>
      <c r="H143" s="2" t="s">
        <v>42</v>
      </c>
      <c r="I143" s="2">
        <v>3</v>
      </c>
      <c r="J143" s="2">
        <v>21137</v>
      </c>
      <c r="K143" s="2">
        <v>12434.83</v>
      </c>
      <c r="L143" s="2">
        <v>6341.1</v>
      </c>
      <c r="M143" s="2">
        <v>67</v>
      </c>
      <c r="N143" s="2">
        <v>57384.27</v>
      </c>
      <c r="O143" s="2" t="s">
        <v>27</v>
      </c>
      <c r="P143" s="2">
        <v>15629</v>
      </c>
      <c r="Q143" s="2" t="s">
        <v>63</v>
      </c>
      <c r="R143" s="2" t="s">
        <v>37</v>
      </c>
      <c r="S143" s="2">
        <v>4</v>
      </c>
      <c r="T143" s="2">
        <v>5</v>
      </c>
      <c r="U143" s="2" t="str" cm="1">
        <f t="array" ref="U143">_xlfn.IFS(N143&gt;200000,"PEAK SALES",N143&gt;100000,"GOOD SALES",N143&gt;50000,"AVERAGE SALES",N143&lt;50000,"PROFIT",N143&lt;10000,"LOSS")</f>
        <v>AVERAGE SALES</v>
      </c>
      <c r="V143" s="2">
        <f t="shared" si="2"/>
        <v>2</v>
      </c>
    </row>
    <row r="144" spans="1:22" x14ac:dyDescent="0.25">
      <c r="A144" s="2">
        <v>2143</v>
      </c>
      <c r="B144" s="2" t="s">
        <v>147</v>
      </c>
      <c r="C144" s="2" t="s">
        <v>87</v>
      </c>
      <c r="D144" s="2" t="s">
        <v>22</v>
      </c>
      <c r="E144" s="2" t="s">
        <v>54</v>
      </c>
      <c r="F144" s="2" t="s">
        <v>34</v>
      </c>
      <c r="G144" s="2" t="s">
        <v>35</v>
      </c>
      <c r="H144" s="2" t="s">
        <v>26</v>
      </c>
      <c r="I144" s="2">
        <v>5</v>
      </c>
      <c r="J144" s="2">
        <v>15969</v>
      </c>
      <c r="K144" s="2">
        <v>6941.54</v>
      </c>
      <c r="L144" s="2">
        <v>7984.5</v>
      </c>
      <c r="M144" s="2">
        <v>234</v>
      </c>
      <c r="N144" s="2">
        <v>81121.960000000006</v>
      </c>
      <c r="O144" s="2" t="s">
        <v>43</v>
      </c>
      <c r="P144" s="2">
        <v>12203</v>
      </c>
      <c r="Q144" s="2" t="s">
        <v>63</v>
      </c>
      <c r="R144" s="2" t="s">
        <v>37</v>
      </c>
      <c r="S144" s="2">
        <v>2</v>
      </c>
      <c r="T144" s="2">
        <v>4</v>
      </c>
      <c r="U144" s="2" t="str" cm="1">
        <f t="array" ref="U144">_xlfn.IFS(N144&gt;200000,"PEAK SALES",N144&gt;100000,"GOOD SALES",N144&gt;50000,"AVERAGE SALES",N144&lt;50000,"PROFIT",N144&lt;10000,"LOSS")</f>
        <v>AVERAGE SALES</v>
      </c>
      <c r="V144" s="2">
        <f t="shared" si="2"/>
        <v>4</v>
      </c>
    </row>
    <row r="145" spans="1:22" x14ac:dyDescent="0.25">
      <c r="A145" s="2">
        <v>2144</v>
      </c>
      <c r="B145" s="2" t="s">
        <v>91</v>
      </c>
      <c r="C145" s="2" t="s">
        <v>68</v>
      </c>
      <c r="D145" s="2" t="s">
        <v>32</v>
      </c>
      <c r="E145" s="2" t="s">
        <v>47</v>
      </c>
      <c r="F145" s="2" t="s">
        <v>24</v>
      </c>
      <c r="G145" s="2" t="s">
        <v>25</v>
      </c>
      <c r="H145" s="2" t="s">
        <v>61</v>
      </c>
      <c r="I145" s="2">
        <v>1</v>
      </c>
      <c r="J145" s="2">
        <v>52909</v>
      </c>
      <c r="K145" s="2">
        <v>8353.56</v>
      </c>
      <c r="L145" s="2">
        <v>5290.9</v>
      </c>
      <c r="M145" s="2">
        <v>261</v>
      </c>
      <c r="N145" s="2">
        <v>50107.34</v>
      </c>
      <c r="O145" s="2" t="s">
        <v>27</v>
      </c>
      <c r="P145" s="2">
        <v>8757</v>
      </c>
      <c r="Q145" s="2" t="s">
        <v>52</v>
      </c>
      <c r="R145" s="2" t="s">
        <v>29</v>
      </c>
      <c r="S145" s="2">
        <v>1</v>
      </c>
      <c r="T145" s="2">
        <v>4</v>
      </c>
      <c r="U145" s="2" t="str" cm="1">
        <f t="array" ref="U145">_xlfn.IFS(N145&gt;200000,"PEAK SALES",N145&gt;100000,"GOOD SALES",N145&gt;50000,"AVERAGE SALES",N145&lt;50000,"PROFIT",N145&lt;10000,"LOSS")</f>
        <v>AVERAGE SALES</v>
      </c>
      <c r="V145" s="2">
        <f t="shared" si="2"/>
        <v>2</v>
      </c>
    </row>
    <row r="146" spans="1:22" x14ac:dyDescent="0.25">
      <c r="A146" s="2">
        <v>2145</v>
      </c>
      <c r="B146" s="2" t="s">
        <v>110</v>
      </c>
      <c r="C146" s="2" t="s">
        <v>65</v>
      </c>
      <c r="D146" s="2" t="s">
        <v>59</v>
      </c>
      <c r="E146" s="2" t="s">
        <v>40</v>
      </c>
      <c r="F146" s="2" t="s">
        <v>48</v>
      </c>
      <c r="G146" s="2" t="s">
        <v>66</v>
      </c>
      <c r="H146" s="2" t="s">
        <v>26</v>
      </c>
      <c r="I146" s="2">
        <v>4</v>
      </c>
      <c r="J146" s="2">
        <v>16332</v>
      </c>
      <c r="K146" s="2">
        <v>13039.73</v>
      </c>
      <c r="L146" s="2">
        <v>6532.8</v>
      </c>
      <c r="M146" s="2">
        <v>333</v>
      </c>
      <c r="N146" s="2">
        <v>59154.070000000007</v>
      </c>
      <c r="O146" s="2" t="s">
        <v>50</v>
      </c>
      <c r="P146" s="2">
        <v>17545</v>
      </c>
      <c r="Q146" s="2" t="s">
        <v>63</v>
      </c>
      <c r="R146" s="2" t="s">
        <v>29</v>
      </c>
      <c r="S146" s="2">
        <v>2</v>
      </c>
      <c r="T146" s="2">
        <v>3</v>
      </c>
      <c r="U146" s="2" t="str" cm="1">
        <f t="array" ref="U146">_xlfn.IFS(N146&gt;200000,"PEAK SALES",N146&gt;100000,"GOOD SALES",N146&gt;50000,"AVERAGE SALES",N146&lt;50000,"PROFIT",N146&lt;10000,"LOSS")</f>
        <v>AVERAGE SALES</v>
      </c>
      <c r="V146" s="2">
        <f t="shared" si="2"/>
        <v>2</v>
      </c>
    </row>
    <row r="147" spans="1:22" x14ac:dyDescent="0.25">
      <c r="A147" s="2">
        <v>2146</v>
      </c>
      <c r="B147" s="2" t="s">
        <v>115</v>
      </c>
      <c r="C147" s="2" t="s">
        <v>65</v>
      </c>
      <c r="D147" s="2" t="s">
        <v>22</v>
      </c>
      <c r="E147" s="2" t="s">
        <v>40</v>
      </c>
      <c r="F147" s="2" t="s">
        <v>48</v>
      </c>
      <c r="G147" s="2" t="s">
        <v>49</v>
      </c>
      <c r="H147" s="2" t="s">
        <v>26</v>
      </c>
      <c r="I147" s="2">
        <v>1</v>
      </c>
      <c r="J147" s="2">
        <v>57423</v>
      </c>
      <c r="K147" s="2">
        <v>10555.48</v>
      </c>
      <c r="L147" s="2">
        <v>5742.3</v>
      </c>
      <c r="M147" s="2">
        <v>219</v>
      </c>
      <c r="N147" s="2">
        <v>52828.820000000007</v>
      </c>
      <c r="O147" s="2" t="s">
        <v>27</v>
      </c>
      <c r="P147" s="2">
        <v>6688</v>
      </c>
      <c r="Q147" s="2" t="s">
        <v>52</v>
      </c>
      <c r="R147" s="2" t="s">
        <v>29</v>
      </c>
      <c r="S147" s="2">
        <v>3</v>
      </c>
      <c r="T147" s="2">
        <v>3</v>
      </c>
      <c r="U147" s="2" t="str" cm="1">
        <f t="array" ref="U147">_xlfn.IFS(N147&gt;200000,"PEAK SALES",N147&gt;100000,"GOOD SALES",N147&gt;50000,"AVERAGE SALES",N147&lt;50000,"PROFIT",N147&lt;10000,"LOSS")</f>
        <v>AVERAGE SALES</v>
      </c>
      <c r="V147" s="2">
        <f t="shared" si="2"/>
        <v>1</v>
      </c>
    </row>
    <row r="148" spans="1:22" x14ac:dyDescent="0.25">
      <c r="A148" s="2">
        <v>2147</v>
      </c>
      <c r="B148" s="2" t="s">
        <v>148</v>
      </c>
      <c r="C148" s="2" t="s">
        <v>21</v>
      </c>
      <c r="D148" s="2" t="s">
        <v>59</v>
      </c>
      <c r="E148" s="2" t="s">
        <v>47</v>
      </c>
      <c r="F148" s="2" t="s">
        <v>34</v>
      </c>
      <c r="G148" s="2" t="s">
        <v>35</v>
      </c>
      <c r="H148" s="2" t="s">
        <v>36</v>
      </c>
      <c r="I148" s="2">
        <v>3</v>
      </c>
      <c r="J148" s="2">
        <v>36795</v>
      </c>
      <c r="K148" s="2">
        <v>17469.88</v>
      </c>
      <c r="L148" s="2">
        <v>11038.5</v>
      </c>
      <c r="M148" s="2">
        <v>466</v>
      </c>
      <c r="N148" s="2">
        <v>104419.62</v>
      </c>
      <c r="O148" s="2" t="s">
        <v>27</v>
      </c>
      <c r="P148" s="2">
        <v>22992</v>
      </c>
      <c r="Q148" s="2" t="s">
        <v>52</v>
      </c>
      <c r="R148" s="2" t="s">
        <v>37</v>
      </c>
      <c r="S148" s="2">
        <v>4</v>
      </c>
      <c r="T148" s="2">
        <v>5</v>
      </c>
      <c r="U148" s="2" t="str" cm="1">
        <f t="array" ref="U148">_xlfn.IFS(N148&gt;200000,"PEAK SALES",N148&gt;100000,"GOOD SALES",N148&gt;50000,"AVERAGE SALES",N148&lt;50000,"PROFIT",N148&lt;10000,"LOSS")</f>
        <v>GOOD SALES</v>
      </c>
      <c r="V148" s="2">
        <f t="shared" si="2"/>
        <v>4</v>
      </c>
    </row>
    <row r="149" spans="1:22" x14ac:dyDescent="0.25">
      <c r="A149" s="2">
        <v>2148</v>
      </c>
      <c r="B149" s="2" t="s">
        <v>98</v>
      </c>
      <c r="C149" s="2" t="s">
        <v>31</v>
      </c>
      <c r="D149" s="2" t="s">
        <v>32</v>
      </c>
      <c r="E149" s="2" t="s">
        <v>40</v>
      </c>
      <c r="F149" s="2" t="s">
        <v>34</v>
      </c>
      <c r="G149" s="2" t="s">
        <v>35</v>
      </c>
      <c r="H149" s="2" t="s">
        <v>26</v>
      </c>
      <c r="I149" s="2">
        <v>5</v>
      </c>
      <c r="J149" s="2">
        <v>9619</v>
      </c>
      <c r="K149" s="2">
        <v>4735.03</v>
      </c>
      <c r="L149" s="2">
        <v>4809.5</v>
      </c>
      <c r="M149" s="2">
        <v>107</v>
      </c>
      <c r="N149" s="2">
        <v>48276.47</v>
      </c>
      <c r="O149" s="2" t="s">
        <v>43</v>
      </c>
      <c r="P149" s="2">
        <v>12724</v>
      </c>
      <c r="Q149" s="2" t="s">
        <v>63</v>
      </c>
      <c r="R149" s="2" t="s">
        <v>44</v>
      </c>
      <c r="S149" s="2">
        <v>6</v>
      </c>
      <c r="T149" s="2">
        <v>5</v>
      </c>
      <c r="U149" s="2" t="str" cm="1">
        <f t="array" ref="U149">_xlfn.IFS(N149&gt;200000,"PEAK SALES",N149&gt;100000,"GOOD SALES",N149&gt;50000,"AVERAGE SALES",N149&lt;50000,"PROFIT",N149&lt;10000,"LOSS")</f>
        <v>PROFIT</v>
      </c>
      <c r="V149" s="2">
        <f t="shared" si="2"/>
        <v>3</v>
      </c>
    </row>
    <row r="150" spans="1:22" x14ac:dyDescent="0.25">
      <c r="A150" s="2">
        <v>2149</v>
      </c>
      <c r="B150" s="2" t="s">
        <v>93</v>
      </c>
      <c r="C150" s="2" t="s">
        <v>21</v>
      </c>
      <c r="D150" s="2" t="s">
        <v>22</v>
      </c>
      <c r="E150" s="2" t="s">
        <v>33</v>
      </c>
      <c r="F150" s="2" t="s">
        <v>34</v>
      </c>
      <c r="G150" s="2" t="s">
        <v>41</v>
      </c>
      <c r="H150" s="2" t="s">
        <v>42</v>
      </c>
      <c r="I150" s="2">
        <v>5</v>
      </c>
      <c r="J150" s="2">
        <v>44860</v>
      </c>
      <c r="K150" s="2">
        <v>38521.58</v>
      </c>
      <c r="L150" s="2">
        <v>22430</v>
      </c>
      <c r="M150" s="2">
        <v>81</v>
      </c>
      <c r="N150" s="2">
        <v>208289.42</v>
      </c>
      <c r="O150" s="2" t="s">
        <v>27</v>
      </c>
      <c r="P150" s="2">
        <v>27810</v>
      </c>
      <c r="Q150" s="2" t="s">
        <v>52</v>
      </c>
      <c r="R150" s="2" t="s">
        <v>29</v>
      </c>
      <c r="S150" s="2">
        <v>10</v>
      </c>
      <c r="T150" s="2">
        <v>3</v>
      </c>
      <c r="U150" s="2" t="str" cm="1">
        <f t="array" ref="U150">_xlfn.IFS(N150&gt;200000,"PEAK SALES",N150&gt;100000,"GOOD SALES",N150&gt;50000,"AVERAGE SALES",N150&lt;50000,"PROFIT",N150&lt;10000,"LOSS")</f>
        <v>PEAK SALES</v>
      </c>
      <c r="V150" s="2">
        <f t="shared" si="2"/>
        <v>4</v>
      </c>
    </row>
    <row r="151" spans="1:22" x14ac:dyDescent="0.25">
      <c r="A151" s="2">
        <v>2150</v>
      </c>
      <c r="B151" s="2" t="s">
        <v>120</v>
      </c>
      <c r="C151" s="2" t="s">
        <v>65</v>
      </c>
      <c r="D151" s="2" t="s">
        <v>73</v>
      </c>
      <c r="E151" s="2" t="s">
        <v>103</v>
      </c>
      <c r="F151" s="2" t="s">
        <v>34</v>
      </c>
      <c r="G151" s="2" t="s">
        <v>35</v>
      </c>
      <c r="H151" s="2" t="s">
        <v>26</v>
      </c>
      <c r="I151" s="2">
        <v>1</v>
      </c>
      <c r="J151" s="2">
        <v>35258</v>
      </c>
      <c r="K151" s="2">
        <v>4670.8100000000004</v>
      </c>
      <c r="L151" s="2">
        <v>3525.8</v>
      </c>
      <c r="M151" s="2">
        <v>65</v>
      </c>
      <c r="N151" s="2">
        <v>34177.99</v>
      </c>
      <c r="O151" s="2" t="s">
        <v>50</v>
      </c>
      <c r="P151" s="2">
        <v>3936</v>
      </c>
      <c r="Q151" s="2" t="s">
        <v>28</v>
      </c>
      <c r="R151" s="2" t="s">
        <v>29</v>
      </c>
      <c r="S151" s="2">
        <v>5</v>
      </c>
      <c r="T151" s="2">
        <v>1</v>
      </c>
      <c r="U151" s="2" t="str" cm="1">
        <f t="array" ref="U151">_xlfn.IFS(N151&gt;200000,"PEAK SALES",N151&gt;100000,"GOOD SALES",N151&gt;50000,"AVERAGE SALES",N151&lt;50000,"PROFIT",N151&lt;10000,"LOSS")</f>
        <v>PROFIT</v>
      </c>
      <c r="V151" s="2">
        <f t="shared" si="2"/>
        <v>4</v>
      </c>
    </row>
    <row r="152" spans="1:22" x14ac:dyDescent="0.25">
      <c r="A152" s="2">
        <v>2151</v>
      </c>
      <c r="B152" s="2" t="s">
        <v>53</v>
      </c>
      <c r="C152" s="2" t="s">
        <v>75</v>
      </c>
      <c r="D152" s="2" t="s">
        <v>73</v>
      </c>
      <c r="E152" s="2" t="s">
        <v>23</v>
      </c>
      <c r="F152" s="2" t="s">
        <v>24</v>
      </c>
      <c r="G152" s="2" t="s">
        <v>25</v>
      </c>
      <c r="H152" s="2" t="s">
        <v>26</v>
      </c>
      <c r="I152" s="2">
        <v>2</v>
      </c>
      <c r="J152" s="2">
        <v>11917</v>
      </c>
      <c r="K152" s="2">
        <v>2339.29</v>
      </c>
      <c r="L152" s="2">
        <v>2383.4</v>
      </c>
      <c r="M152" s="2">
        <v>185</v>
      </c>
      <c r="N152" s="2">
        <v>24063.11</v>
      </c>
      <c r="O152" s="2" t="s">
        <v>50</v>
      </c>
      <c r="P152" s="2">
        <v>5275</v>
      </c>
      <c r="Q152" s="2" t="s">
        <v>28</v>
      </c>
      <c r="R152" s="2" t="s">
        <v>37</v>
      </c>
      <c r="S152" s="2">
        <v>9</v>
      </c>
      <c r="T152" s="2">
        <v>3</v>
      </c>
      <c r="U152" s="2" t="str" cm="1">
        <f t="array" ref="U152">_xlfn.IFS(N152&gt;200000,"PEAK SALES",N152&gt;100000,"GOOD SALES",N152&gt;50000,"AVERAGE SALES",N152&lt;50000,"PROFIT",N152&lt;10000,"LOSS")</f>
        <v>PROFIT</v>
      </c>
      <c r="V152" s="2">
        <f t="shared" si="2"/>
        <v>1</v>
      </c>
    </row>
    <row r="153" spans="1:22" x14ac:dyDescent="0.25">
      <c r="A153" s="2">
        <v>2152</v>
      </c>
      <c r="B153" s="2" t="s">
        <v>57</v>
      </c>
      <c r="C153" s="2" t="s">
        <v>46</v>
      </c>
      <c r="D153" s="2" t="s">
        <v>59</v>
      </c>
      <c r="E153" s="2" t="s">
        <v>40</v>
      </c>
      <c r="F153" s="2" t="s">
        <v>34</v>
      </c>
      <c r="G153" s="2" t="s">
        <v>60</v>
      </c>
      <c r="H153" s="2" t="s">
        <v>42</v>
      </c>
      <c r="I153" s="2">
        <v>5</v>
      </c>
      <c r="J153" s="2">
        <v>11567</v>
      </c>
      <c r="K153" s="2">
        <v>8023.99</v>
      </c>
      <c r="L153" s="2">
        <v>5783.5</v>
      </c>
      <c r="M153" s="2">
        <v>95</v>
      </c>
      <c r="N153" s="2">
        <v>55689.51</v>
      </c>
      <c r="O153" s="2" t="s">
        <v>50</v>
      </c>
      <c r="P153" s="2">
        <v>13964</v>
      </c>
      <c r="Q153" s="2" t="s">
        <v>63</v>
      </c>
      <c r="R153" s="2" t="s">
        <v>44</v>
      </c>
      <c r="S153" s="2">
        <v>4</v>
      </c>
      <c r="T153" s="2">
        <v>1</v>
      </c>
      <c r="U153" s="2" t="str" cm="1">
        <f t="array" ref="U153">_xlfn.IFS(N153&gt;200000,"PEAK SALES",N153&gt;100000,"GOOD SALES",N153&gt;50000,"AVERAGE SALES",N153&lt;50000,"PROFIT",N153&lt;10000,"LOSS")</f>
        <v>AVERAGE SALES</v>
      </c>
      <c r="V153" s="2">
        <f t="shared" si="2"/>
        <v>1</v>
      </c>
    </row>
    <row r="154" spans="1:22" x14ac:dyDescent="0.25">
      <c r="A154" s="2">
        <v>2153</v>
      </c>
      <c r="B154" s="2" t="s">
        <v>149</v>
      </c>
      <c r="C154" s="2" t="s">
        <v>46</v>
      </c>
      <c r="D154" s="2" t="s">
        <v>59</v>
      </c>
      <c r="E154" s="2" t="s">
        <v>103</v>
      </c>
      <c r="F154" s="2" t="s">
        <v>34</v>
      </c>
      <c r="G154" s="2" t="s">
        <v>80</v>
      </c>
      <c r="H154" s="2" t="s">
        <v>36</v>
      </c>
      <c r="I154" s="2">
        <v>3</v>
      </c>
      <c r="J154" s="2">
        <v>5866</v>
      </c>
      <c r="K154" s="2">
        <v>1951.53</v>
      </c>
      <c r="L154" s="2">
        <v>1759.8</v>
      </c>
      <c r="M154" s="2">
        <v>294</v>
      </c>
      <c r="N154" s="2">
        <v>17700.27</v>
      </c>
      <c r="O154" s="2" t="s">
        <v>43</v>
      </c>
      <c r="P154" s="2">
        <v>2704</v>
      </c>
      <c r="Q154" s="2" t="s">
        <v>63</v>
      </c>
      <c r="R154" s="2" t="s">
        <v>29</v>
      </c>
      <c r="S154" s="2">
        <v>1</v>
      </c>
      <c r="T154" s="2">
        <v>3</v>
      </c>
      <c r="U154" s="2" t="str" cm="1">
        <f t="array" ref="U154">_xlfn.IFS(N154&gt;200000,"PEAK SALES",N154&gt;100000,"GOOD SALES",N154&gt;50000,"AVERAGE SALES",N154&lt;50000,"PROFIT",N154&lt;10000,"LOSS")</f>
        <v>PROFIT</v>
      </c>
      <c r="V154" s="2">
        <f t="shared" si="2"/>
        <v>2</v>
      </c>
    </row>
    <row r="155" spans="1:22" x14ac:dyDescent="0.25">
      <c r="A155" s="2">
        <v>2154</v>
      </c>
      <c r="B155" s="2" t="s">
        <v>137</v>
      </c>
      <c r="C155" s="2" t="s">
        <v>72</v>
      </c>
      <c r="D155" s="2" t="s">
        <v>59</v>
      </c>
      <c r="E155" s="2" t="s">
        <v>103</v>
      </c>
      <c r="F155" s="2" t="s">
        <v>24</v>
      </c>
      <c r="G155" s="2" t="s">
        <v>69</v>
      </c>
      <c r="H155" s="2" t="s">
        <v>36</v>
      </c>
      <c r="I155" s="2">
        <v>4</v>
      </c>
      <c r="J155" s="2">
        <v>35357</v>
      </c>
      <c r="K155" s="2">
        <v>21632.92</v>
      </c>
      <c r="L155" s="2">
        <v>14142.8</v>
      </c>
      <c r="M155" s="2">
        <v>427</v>
      </c>
      <c r="N155" s="2">
        <v>134364.88</v>
      </c>
      <c r="O155" s="2" t="s">
        <v>43</v>
      </c>
      <c r="P155" s="2">
        <v>18366</v>
      </c>
      <c r="Q155" s="2" t="s">
        <v>52</v>
      </c>
      <c r="R155" s="2" t="s">
        <v>37</v>
      </c>
      <c r="S155" s="2">
        <v>8</v>
      </c>
      <c r="T155" s="2">
        <v>4</v>
      </c>
      <c r="U155" s="2" t="str" cm="1">
        <f t="array" ref="U155">_xlfn.IFS(N155&gt;200000,"PEAK SALES",N155&gt;100000,"GOOD SALES",N155&gt;50000,"AVERAGE SALES",N155&lt;50000,"PROFIT",N155&lt;10000,"LOSS")</f>
        <v>GOOD SALES</v>
      </c>
      <c r="V155" s="2">
        <f t="shared" si="2"/>
        <v>3</v>
      </c>
    </row>
    <row r="156" spans="1:22" x14ac:dyDescent="0.25">
      <c r="A156" s="2">
        <v>2155</v>
      </c>
      <c r="B156" s="2" t="s">
        <v>150</v>
      </c>
      <c r="C156" s="2" t="s">
        <v>58</v>
      </c>
      <c r="D156" s="2" t="s">
        <v>32</v>
      </c>
      <c r="E156" s="2" t="s">
        <v>56</v>
      </c>
      <c r="F156" s="2" t="s">
        <v>48</v>
      </c>
      <c r="G156" s="2" t="s">
        <v>77</v>
      </c>
      <c r="H156" s="2" t="s">
        <v>26</v>
      </c>
      <c r="I156" s="2">
        <v>1</v>
      </c>
      <c r="J156" s="2">
        <v>18297</v>
      </c>
      <c r="K156" s="2">
        <v>965.77</v>
      </c>
      <c r="L156" s="2">
        <v>1829.7</v>
      </c>
      <c r="M156" s="2">
        <v>148</v>
      </c>
      <c r="N156" s="2">
        <v>19308.93</v>
      </c>
      <c r="O156" s="2" t="s">
        <v>62</v>
      </c>
      <c r="P156" s="2">
        <v>5593</v>
      </c>
      <c r="Q156" s="2" t="s">
        <v>28</v>
      </c>
      <c r="R156" s="2" t="s">
        <v>44</v>
      </c>
      <c r="S156" s="2">
        <v>6</v>
      </c>
      <c r="T156" s="2">
        <v>1</v>
      </c>
      <c r="U156" s="2" t="str" cm="1">
        <f t="array" ref="U156">_xlfn.IFS(N156&gt;200000,"PEAK SALES",N156&gt;100000,"GOOD SALES",N156&gt;50000,"AVERAGE SALES",N156&lt;50000,"PROFIT",N156&lt;10000,"LOSS")</f>
        <v>PROFIT</v>
      </c>
      <c r="V156" s="2">
        <f t="shared" si="2"/>
        <v>3</v>
      </c>
    </row>
    <row r="157" spans="1:22" x14ac:dyDescent="0.25">
      <c r="A157" s="2">
        <v>2156</v>
      </c>
      <c r="B157" s="2" t="s">
        <v>128</v>
      </c>
      <c r="C157" s="2" t="s">
        <v>87</v>
      </c>
      <c r="D157" s="2" t="s">
        <v>32</v>
      </c>
      <c r="E157" s="2" t="s">
        <v>33</v>
      </c>
      <c r="F157" s="2" t="s">
        <v>48</v>
      </c>
      <c r="G157" s="2" t="s">
        <v>77</v>
      </c>
      <c r="H157" s="2" t="s">
        <v>36</v>
      </c>
      <c r="I157" s="2">
        <v>2</v>
      </c>
      <c r="J157" s="2">
        <v>52857</v>
      </c>
      <c r="K157" s="2">
        <v>9424.3799999999992</v>
      </c>
      <c r="L157" s="2">
        <v>10571.4</v>
      </c>
      <c r="M157" s="2">
        <v>258</v>
      </c>
      <c r="N157" s="2">
        <v>107119.02</v>
      </c>
      <c r="O157" s="2" t="s">
        <v>62</v>
      </c>
      <c r="P157" s="2">
        <v>27218</v>
      </c>
      <c r="Q157" s="2" t="s">
        <v>28</v>
      </c>
      <c r="R157" s="2" t="s">
        <v>29</v>
      </c>
      <c r="S157" s="2">
        <v>3</v>
      </c>
      <c r="T157" s="2">
        <v>3</v>
      </c>
      <c r="U157" s="2" t="str" cm="1">
        <f t="array" ref="U157">_xlfn.IFS(N157&gt;200000,"PEAK SALES",N157&gt;100000,"GOOD SALES",N157&gt;50000,"AVERAGE SALES",N157&lt;50000,"PROFIT",N157&lt;10000,"LOSS")</f>
        <v>GOOD SALES</v>
      </c>
      <c r="V157" s="2">
        <f t="shared" si="2"/>
        <v>2</v>
      </c>
    </row>
    <row r="158" spans="1:22" x14ac:dyDescent="0.25">
      <c r="A158" s="2">
        <v>2157</v>
      </c>
      <c r="B158" s="2" t="s">
        <v>144</v>
      </c>
      <c r="C158" s="2" t="s">
        <v>46</v>
      </c>
      <c r="D158" s="2" t="s">
        <v>73</v>
      </c>
      <c r="E158" s="2" t="s">
        <v>79</v>
      </c>
      <c r="F158" s="2" t="s">
        <v>34</v>
      </c>
      <c r="G158" s="2" t="s">
        <v>35</v>
      </c>
      <c r="H158" s="2" t="s">
        <v>26</v>
      </c>
      <c r="I158" s="2">
        <v>5</v>
      </c>
      <c r="J158" s="2">
        <v>16982</v>
      </c>
      <c r="K158" s="2">
        <v>8428.1299999999992</v>
      </c>
      <c r="L158" s="2">
        <v>8491</v>
      </c>
      <c r="M158" s="2">
        <v>115</v>
      </c>
      <c r="N158" s="2">
        <v>85087.87</v>
      </c>
      <c r="O158" s="2" t="s">
        <v>27</v>
      </c>
      <c r="P158" s="2">
        <v>18441</v>
      </c>
      <c r="Q158" s="2" t="s">
        <v>52</v>
      </c>
      <c r="R158" s="2" t="s">
        <v>44</v>
      </c>
      <c r="S158" s="2">
        <v>3</v>
      </c>
      <c r="T158" s="2">
        <v>5</v>
      </c>
      <c r="U158" s="2" t="str" cm="1">
        <f t="array" ref="U158">_xlfn.IFS(N158&gt;200000,"PEAK SALES",N158&gt;100000,"GOOD SALES",N158&gt;50000,"AVERAGE SALES",N158&lt;50000,"PROFIT",N158&lt;10000,"LOSS")</f>
        <v>AVERAGE SALES</v>
      </c>
      <c r="V158" s="2">
        <f t="shared" si="2"/>
        <v>3</v>
      </c>
    </row>
    <row r="159" spans="1:22" x14ac:dyDescent="0.25">
      <c r="A159" s="2">
        <v>2158</v>
      </c>
      <c r="B159" s="2" t="s">
        <v>143</v>
      </c>
      <c r="C159" s="2" t="s">
        <v>87</v>
      </c>
      <c r="D159" s="2" t="s">
        <v>59</v>
      </c>
      <c r="E159" s="2" t="s">
        <v>103</v>
      </c>
      <c r="F159" s="2" t="s">
        <v>34</v>
      </c>
      <c r="G159" s="2" t="s">
        <v>41</v>
      </c>
      <c r="H159" s="2" t="s">
        <v>61</v>
      </c>
      <c r="I159" s="2">
        <v>5</v>
      </c>
      <c r="J159" s="2">
        <v>14304</v>
      </c>
      <c r="K159" s="2">
        <v>10335.61</v>
      </c>
      <c r="L159" s="2">
        <v>7152</v>
      </c>
      <c r="M159" s="2">
        <v>227</v>
      </c>
      <c r="N159" s="2">
        <v>68563.39</v>
      </c>
      <c r="O159" s="2" t="s">
        <v>62</v>
      </c>
      <c r="P159" s="2">
        <v>14332</v>
      </c>
      <c r="Q159" s="2" t="s">
        <v>52</v>
      </c>
      <c r="R159" s="2" t="s">
        <v>44</v>
      </c>
      <c r="S159" s="2">
        <v>5</v>
      </c>
      <c r="T159" s="2">
        <v>3</v>
      </c>
      <c r="U159" s="2" t="str" cm="1">
        <f t="array" ref="U159">_xlfn.IFS(N159&gt;200000,"PEAK SALES",N159&gt;100000,"GOOD SALES",N159&gt;50000,"AVERAGE SALES",N159&lt;50000,"PROFIT",N159&lt;10000,"LOSS")</f>
        <v>AVERAGE SALES</v>
      </c>
      <c r="V159" s="2">
        <f t="shared" si="2"/>
        <v>2</v>
      </c>
    </row>
    <row r="160" spans="1:22" x14ac:dyDescent="0.25">
      <c r="A160" s="2">
        <v>2159</v>
      </c>
      <c r="B160" s="2" t="s">
        <v>151</v>
      </c>
      <c r="C160" s="2" t="s">
        <v>31</v>
      </c>
      <c r="D160" s="2" t="s">
        <v>22</v>
      </c>
      <c r="E160" s="2" t="s">
        <v>103</v>
      </c>
      <c r="F160" s="2" t="s">
        <v>34</v>
      </c>
      <c r="G160" s="2" t="s">
        <v>80</v>
      </c>
      <c r="H160" s="2" t="s">
        <v>36</v>
      </c>
      <c r="I160" s="2">
        <v>2</v>
      </c>
      <c r="J160" s="2">
        <v>10421</v>
      </c>
      <c r="K160" s="2">
        <v>3665.03</v>
      </c>
      <c r="L160" s="2">
        <v>2084.1999999999998</v>
      </c>
      <c r="M160" s="2">
        <v>185</v>
      </c>
      <c r="N160" s="2">
        <v>19446.169999999998</v>
      </c>
      <c r="O160" s="2" t="s">
        <v>27</v>
      </c>
      <c r="P160" s="2">
        <v>4305</v>
      </c>
      <c r="Q160" s="2" t="s">
        <v>63</v>
      </c>
      <c r="R160" s="2" t="s">
        <v>29</v>
      </c>
      <c r="S160" s="2">
        <v>4</v>
      </c>
      <c r="T160" s="2">
        <v>3</v>
      </c>
      <c r="U160" s="2" t="str" cm="1">
        <f t="array" ref="U160">_xlfn.IFS(N160&gt;200000,"PEAK SALES",N160&gt;100000,"GOOD SALES",N160&gt;50000,"AVERAGE SALES",N160&lt;50000,"PROFIT",N160&lt;10000,"LOSS")</f>
        <v>PROFIT</v>
      </c>
      <c r="V160" s="2">
        <f t="shared" si="2"/>
        <v>1</v>
      </c>
    </row>
    <row r="161" spans="1:22" x14ac:dyDescent="0.25">
      <c r="A161" s="2">
        <v>2160</v>
      </c>
      <c r="B161" s="2" t="s">
        <v>99</v>
      </c>
      <c r="C161" s="2" t="s">
        <v>21</v>
      </c>
      <c r="D161" s="2" t="s">
        <v>32</v>
      </c>
      <c r="E161" s="2" t="s">
        <v>23</v>
      </c>
      <c r="F161" s="2" t="s">
        <v>34</v>
      </c>
      <c r="G161" s="2" t="s">
        <v>35</v>
      </c>
      <c r="H161" s="2" t="s">
        <v>42</v>
      </c>
      <c r="I161" s="2">
        <v>1</v>
      </c>
      <c r="J161" s="2">
        <v>15985</v>
      </c>
      <c r="K161" s="2">
        <v>2418.36</v>
      </c>
      <c r="L161" s="2">
        <v>1598.5</v>
      </c>
      <c r="M161" s="2">
        <v>361</v>
      </c>
      <c r="N161" s="2">
        <v>15526.14</v>
      </c>
      <c r="O161" s="2" t="s">
        <v>50</v>
      </c>
      <c r="P161" s="2">
        <v>3663</v>
      </c>
      <c r="Q161" s="2" t="s">
        <v>63</v>
      </c>
      <c r="R161" s="2" t="s">
        <v>44</v>
      </c>
      <c r="S161" s="2">
        <v>4</v>
      </c>
      <c r="T161" s="2">
        <v>2</v>
      </c>
      <c r="U161" s="2" t="str" cm="1">
        <f t="array" ref="U161">_xlfn.IFS(N161&gt;200000,"PEAK SALES",N161&gt;100000,"GOOD SALES",N161&gt;50000,"AVERAGE SALES",N161&lt;50000,"PROFIT",N161&lt;10000,"LOSS")</f>
        <v>PROFIT</v>
      </c>
      <c r="V161" s="2">
        <f t="shared" si="2"/>
        <v>3</v>
      </c>
    </row>
    <row r="162" spans="1:22" x14ac:dyDescent="0.25">
      <c r="A162" s="2">
        <v>2161</v>
      </c>
      <c r="B162" s="2" t="s">
        <v>143</v>
      </c>
      <c r="C162" s="2" t="s">
        <v>75</v>
      </c>
      <c r="D162" s="2" t="s">
        <v>73</v>
      </c>
      <c r="E162" s="2" t="s">
        <v>79</v>
      </c>
      <c r="F162" s="2" t="s">
        <v>24</v>
      </c>
      <c r="G162" s="2" t="s">
        <v>94</v>
      </c>
      <c r="H162" s="2" t="s">
        <v>42</v>
      </c>
      <c r="I162" s="2">
        <v>1</v>
      </c>
      <c r="J162" s="2">
        <v>56567</v>
      </c>
      <c r="K162" s="2">
        <v>6463.44</v>
      </c>
      <c r="L162" s="2">
        <v>5656.7</v>
      </c>
      <c r="M162" s="2">
        <v>425</v>
      </c>
      <c r="N162" s="2">
        <v>56185.259999999987</v>
      </c>
      <c r="O162" s="2" t="s">
        <v>62</v>
      </c>
      <c r="P162" s="2">
        <v>8335</v>
      </c>
      <c r="Q162" s="2" t="s">
        <v>52</v>
      </c>
      <c r="R162" s="2" t="s">
        <v>37</v>
      </c>
      <c r="S162" s="2">
        <v>2</v>
      </c>
      <c r="T162" s="2">
        <v>4</v>
      </c>
      <c r="U162" s="2" t="str" cm="1">
        <f t="array" ref="U162">_xlfn.IFS(N162&gt;200000,"PEAK SALES",N162&gt;100000,"GOOD SALES",N162&gt;50000,"AVERAGE SALES",N162&lt;50000,"PROFIT",N162&lt;10000,"LOSS")</f>
        <v>AVERAGE SALES</v>
      </c>
      <c r="V162" s="2">
        <f t="shared" si="2"/>
        <v>2</v>
      </c>
    </row>
    <row r="163" spans="1:22" x14ac:dyDescent="0.25">
      <c r="A163" s="2">
        <v>2162</v>
      </c>
      <c r="B163" s="2" t="s">
        <v>117</v>
      </c>
      <c r="C163" s="2" t="s">
        <v>58</v>
      </c>
      <c r="D163" s="2" t="s">
        <v>22</v>
      </c>
      <c r="E163" s="2" t="s">
        <v>103</v>
      </c>
      <c r="F163" s="2" t="s">
        <v>48</v>
      </c>
      <c r="G163" s="2" t="s">
        <v>49</v>
      </c>
      <c r="H163" s="2" t="s">
        <v>26</v>
      </c>
      <c r="I163" s="2">
        <v>4</v>
      </c>
      <c r="J163" s="2">
        <v>10449</v>
      </c>
      <c r="K163" s="2">
        <v>8275.7999999999993</v>
      </c>
      <c r="L163" s="2">
        <v>4179.6000000000004</v>
      </c>
      <c r="M163" s="2">
        <v>57</v>
      </c>
      <c r="N163" s="2">
        <v>37756.800000000003</v>
      </c>
      <c r="O163" s="2" t="s">
        <v>62</v>
      </c>
      <c r="P163" s="2">
        <v>5067</v>
      </c>
      <c r="Q163" s="2" t="s">
        <v>28</v>
      </c>
      <c r="R163" s="2" t="s">
        <v>29</v>
      </c>
      <c r="S163" s="2">
        <v>4</v>
      </c>
      <c r="T163" s="2">
        <v>2</v>
      </c>
      <c r="U163" s="2" t="str" cm="1">
        <f t="array" ref="U163">_xlfn.IFS(N163&gt;200000,"PEAK SALES",N163&gt;100000,"GOOD SALES",N163&gt;50000,"AVERAGE SALES",N163&lt;50000,"PROFIT",N163&lt;10000,"LOSS")</f>
        <v>PROFIT</v>
      </c>
      <c r="V163" s="2">
        <f t="shared" si="2"/>
        <v>4</v>
      </c>
    </row>
    <row r="164" spans="1:22" x14ac:dyDescent="0.25">
      <c r="A164" s="2">
        <v>2163</v>
      </c>
      <c r="B164" s="2" t="s">
        <v>152</v>
      </c>
      <c r="C164" s="2" t="s">
        <v>58</v>
      </c>
      <c r="D164" s="2" t="s">
        <v>32</v>
      </c>
      <c r="E164" s="2" t="s">
        <v>47</v>
      </c>
      <c r="F164" s="2" t="s">
        <v>34</v>
      </c>
      <c r="G164" s="2" t="s">
        <v>35</v>
      </c>
      <c r="H164" s="2" t="s">
        <v>42</v>
      </c>
      <c r="I164" s="2">
        <v>3</v>
      </c>
      <c r="J164" s="2">
        <v>44317</v>
      </c>
      <c r="K164" s="2">
        <v>21017.73</v>
      </c>
      <c r="L164" s="2">
        <v>13295.1</v>
      </c>
      <c r="M164" s="2">
        <v>281</v>
      </c>
      <c r="N164" s="2">
        <v>125509.37</v>
      </c>
      <c r="O164" s="2" t="s">
        <v>62</v>
      </c>
      <c r="P164" s="2">
        <v>25142</v>
      </c>
      <c r="Q164" s="2" t="s">
        <v>63</v>
      </c>
      <c r="R164" s="2" t="s">
        <v>44</v>
      </c>
      <c r="S164" s="2">
        <v>6</v>
      </c>
      <c r="T164" s="2">
        <v>2</v>
      </c>
      <c r="U164" s="2" t="str" cm="1">
        <f t="array" ref="U164">_xlfn.IFS(N164&gt;200000,"PEAK SALES",N164&gt;100000,"GOOD SALES",N164&gt;50000,"AVERAGE SALES",N164&lt;50000,"PROFIT",N164&lt;10000,"LOSS")</f>
        <v>GOOD SALES</v>
      </c>
      <c r="V164" s="2">
        <f t="shared" si="2"/>
        <v>2</v>
      </c>
    </row>
    <row r="165" spans="1:22" x14ac:dyDescent="0.25">
      <c r="A165" s="2">
        <v>2164</v>
      </c>
      <c r="B165" s="2" t="s">
        <v>45</v>
      </c>
      <c r="C165" s="2" t="s">
        <v>65</v>
      </c>
      <c r="D165" s="2" t="s">
        <v>32</v>
      </c>
      <c r="E165" s="2" t="s">
        <v>54</v>
      </c>
      <c r="F165" s="2" t="s">
        <v>24</v>
      </c>
      <c r="G165" s="2" t="s">
        <v>25</v>
      </c>
      <c r="H165" s="2" t="s">
        <v>36</v>
      </c>
      <c r="I165" s="2">
        <v>1</v>
      </c>
      <c r="J165" s="2">
        <v>36254</v>
      </c>
      <c r="K165" s="2">
        <v>4837.0200000000004</v>
      </c>
      <c r="L165" s="2">
        <v>3625.4</v>
      </c>
      <c r="M165" s="2">
        <v>86</v>
      </c>
      <c r="N165" s="2">
        <v>35128.379999999997</v>
      </c>
      <c r="O165" s="2" t="s">
        <v>27</v>
      </c>
      <c r="P165" s="2">
        <v>6561</v>
      </c>
      <c r="Q165" s="2" t="s">
        <v>28</v>
      </c>
      <c r="R165" s="2" t="s">
        <v>44</v>
      </c>
      <c r="S165" s="2">
        <v>8</v>
      </c>
      <c r="T165" s="2">
        <v>4</v>
      </c>
      <c r="U165" s="2" t="str" cm="1">
        <f t="array" ref="U165">_xlfn.IFS(N165&gt;200000,"PEAK SALES",N165&gt;100000,"GOOD SALES",N165&gt;50000,"AVERAGE SALES",N165&lt;50000,"PROFIT",N165&lt;10000,"LOSS")</f>
        <v>PROFIT</v>
      </c>
      <c r="V165" s="2">
        <f t="shared" si="2"/>
        <v>2</v>
      </c>
    </row>
    <row r="166" spans="1:22" x14ac:dyDescent="0.25">
      <c r="A166" s="2">
        <v>2165</v>
      </c>
      <c r="B166" s="2" t="s">
        <v>153</v>
      </c>
      <c r="C166" s="2" t="s">
        <v>39</v>
      </c>
      <c r="D166" s="2" t="s">
        <v>32</v>
      </c>
      <c r="E166" s="2" t="s">
        <v>47</v>
      </c>
      <c r="F166" s="2" t="s">
        <v>24</v>
      </c>
      <c r="G166" s="2" t="s">
        <v>94</v>
      </c>
      <c r="H166" s="2" t="s">
        <v>42</v>
      </c>
      <c r="I166" s="2">
        <v>5</v>
      </c>
      <c r="J166" s="2">
        <v>39487</v>
      </c>
      <c r="K166" s="2">
        <v>23384.36</v>
      </c>
      <c r="L166" s="2">
        <v>19743.5</v>
      </c>
      <c r="M166" s="2">
        <v>117</v>
      </c>
      <c r="N166" s="2">
        <v>193911.14</v>
      </c>
      <c r="O166" s="2" t="s">
        <v>50</v>
      </c>
      <c r="P166" s="2">
        <v>28528</v>
      </c>
      <c r="Q166" s="2" t="s">
        <v>28</v>
      </c>
      <c r="R166" s="2" t="s">
        <v>37</v>
      </c>
      <c r="S166" s="2">
        <v>1</v>
      </c>
      <c r="T166" s="2">
        <v>3</v>
      </c>
      <c r="U166" s="2" t="str" cm="1">
        <f t="array" ref="U166">_xlfn.IFS(N166&gt;200000,"PEAK SALES",N166&gt;100000,"GOOD SALES",N166&gt;50000,"AVERAGE SALES",N166&lt;50000,"PROFIT",N166&lt;10000,"LOSS")</f>
        <v>GOOD SALES</v>
      </c>
      <c r="V166" s="2">
        <f t="shared" si="2"/>
        <v>2</v>
      </c>
    </row>
    <row r="167" spans="1:22" x14ac:dyDescent="0.25">
      <c r="A167" s="2">
        <v>2166</v>
      </c>
      <c r="B167" s="2" t="s">
        <v>154</v>
      </c>
      <c r="C167" s="2" t="s">
        <v>46</v>
      </c>
      <c r="D167" s="2" t="s">
        <v>22</v>
      </c>
      <c r="E167" s="2" t="s">
        <v>56</v>
      </c>
      <c r="F167" s="2" t="s">
        <v>48</v>
      </c>
      <c r="G167" s="2" t="s">
        <v>49</v>
      </c>
      <c r="H167" s="2" t="s">
        <v>26</v>
      </c>
      <c r="I167" s="2">
        <v>2</v>
      </c>
      <c r="J167" s="2">
        <v>29738</v>
      </c>
      <c r="K167" s="2">
        <v>5602.32</v>
      </c>
      <c r="L167" s="2">
        <v>5947.6</v>
      </c>
      <c r="M167" s="2">
        <v>183</v>
      </c>
      <c r="N167" s="2">
        <v>60004.28</v>
      </c>
      <c r="O167" s="2" t="s">
        <v>50</v>
      </c>
      <c r="P167" s="2">
        <v>10129</v>
      </c>
      <c r="Q167" s="2" t="s">
        <v>52</v>
      </c>
      <c r="R167" s="2" t="s">
        <v>29</v>
      </c>
      <c r="S167" s="2">
        <v>5</v>
      </c>
      <c r="T167" s="2">
        <v>4</v>
      </c>
      <c r="U167" s="2" t="str" cm="1">
        <f t="array" ref="U167">_xlfn.IFS(N167&gt;200000,"PEAK SALES",N167&gt;100000,"GOOD SALES",N167&gt;50000,"AVERAGE SALES",N167&lt;50000,"PROFIT",N167&lt;10000,"LOSS")</f>
        <v>AVERAGE SALES</v>
      </c>
      <c r="V167" s="2">
        <f t="shared" si="2"/>
        <v>4</v>
      </c>
    </row>
    <row r="168" spans="1:22" x14ac:dyDescent="0.25">
      <c r="A168" s="2">
        <v>2167</v>
      </c>
      <c r="B168" s="2" t="s">
        <v>155</v>
      </c>
      <c r="C168" s="2" t="s">
        <v>68</v>
      </c>
      <c r="D168" s="2" t="s">
        <v>22</v>
      </c>
      <c r="E168" s="2" t="s">
        <v>103</v>
      </c>
      <c r="F168" s="2" t="s">
        <v>48</v>
      </c>
      <c r="G168" s="2" t="s">
        <v>49</v>
      </c>
      <c r="H168" s="2" t="s">
        <v>26</v>
      </c>
      <c r="I168" s="2">
        <v>3</v>
      </c>
      <c r="J168" s="2">
        <v>48019</v>
      </c>
      <c r="K168" s="2">
        <v>12109.45</v>
      </c>
      <c r="L168" s="2">
        <v>14405.7</v>
      </c>
      <c r="M168" s="2">
        <v>260</v>
      </c>
      <c r="N168" s="2">
        <v>146613.25</v>
      </c>
      <c r="O168" s="2" t="s">
        <v>43</v>
      </c>
      <c r="P168" s="2">
        <v>33068</v>
      </c>
      <c r="Q168" s="2" t="s">
        <v>52</v>
      </c>
      <c r="R168" s="2" t="s">
        <v>29</v>
      </c>
      <c r="S168" s="2">
        <v>3</v>
      </c>
      <c r="T168" s="2">
        <v>2</v>
      </c>
      <c r="U168" s="2" t="str" cm="1">
        <f t="array" ref="U168">_xlfn.IFS(N168&gt;200000,"PEAK SALES",N168&gt;100000,"GOOD SALES",N168&gt;50000,"AVERAGE SALES",N168&lt;50000,"PROFIT",N168&lt;10000,"LOSS")</f>
        <v>GOOD SALES</v>
      </c>
      <c r="V168" s="2">
        <f t="shared" si="2"/>
        <v>1</v>
      </c>
    </row>
    <row r="169" spans="1:22" x14ac:dyDescent="0.25">
      <c r="A169" s="2">
        <v>2168</v>
      </c>
      <c r="B169" s="2" t="s">
        <v>99</v>
      </c>
      <c r="C169" s="2" t="s">
        <v>21</v>
      </c>
      <c r="D169" s="2" t="s">
        <v>73</v>
      </c>
      <c r="E169" s="2" t="s">
        <v>54</v>
      </c>
      <c r="F169" s="2" t="s">
        <v>48</v>
      </c>
      <c r="G169" s="2" t="s">
        <v>77</v>
      </c>
      <c r="H169" s="2" t="s">
        <v>26</v>
      </c>
      <c r="I169" s="2">
        <v>2</v>
      </c>
      <c r="J169" s="2">
        <v>26913</v>
      </c>
      <c r="K169" s="2">
        <v>5726.71</v>
      </c>
      <c r="L169" s="2">
        <v>5382.6</v>
      </c>
      <c r="M169" s="2">
        <v>216</v>
      </c>
      <c r="N169" s="2">
        <v>53697.89</v>
      </c>
      <c r="O169" s="2" t="s">
        <v>62</v>
      </c>
      <c r="P169" s="2">
        <v>14943</v>
      </c>
      <c r="Q169" s="2" t="s">
        <v>28</v>
      </c>
      <c r="R169" s="2" t="s">
        <v>29</v>
      </c>
      <c r="S169" s="2">
        <v>8</v>
      </c>
      <c r="T169" s="2">
        <v>2</v>
      </c>
      <c r="U169" s="2" t="str" cm="1">
        <f t="array" ref="U169">_xlfn.IFS(N169&gt;200000,"PEAK SALES",N169&gt;100000,"GOOD SALES",N169&gt;50000,"AVERAGE SALES",N169&lt;50000,"PROFIT",N169&lt;10000,"LOSS")</f>
        <v>AVERAGE SALES</v>
      </c>
      <c r="V169" s="2">
        <f t="shared" si="2"/>
        <v>3</v>
      </c>
    </row>
    <row r="170" spans="1:22" x14ac:dyDescent="0.25">
      <c r="A170" s="2">
        <v>2169</v>
      </c>
      <c r="B170" s="2" t="s">
        <v>153</v>
      </c>
      <c r="C170" s="2" t="s">
        <v>72</v>
      </c>
      <c r="D170" s="2" t="s">
        <v>73</v>
      </c>
      <c r="E170" s="2" t="s">
        <v>47</v>
      </c>
      <c r="F170" s="2" t="s">
        <v>24</v>
      </c>
      <c r="G170" s="2" t="s">
        <v>69</v>
      </c>
      <c r="H170" s="2" t="s">
        <v>26</v>
      </c>
      <c r="I170" s="2">
        <v>5</v>
      </c>
      <c r="J170" s="2">
        <v>45291</v>
      </c>
      <c r="K170" s="2">
        <v>44986.13</v>
      </c>
      <c r="L170" s="2">
        <v>22645.5</v>
      </c>
      <c r="M170" s="2">
        <v>186</v>
      </c>
      <c r="N170" s="2">
        <v>204300.37</v>
      </c>
      <c r="O170" s="2" t="s">
        <v>43</v>
      </c>
      <c r="P170" s="2">
        <v>51473</v>
      </c>
      <c r="Q170" s="2" t="s">
        <v>28</v>
      </c>
      <c r="R170" s="2" t="s">
        <v>37</v>
      </c>
      <c r="S170" s="2">
        <v>1</v>
      </c>
      <c r="T170" s="2">
        <v>2</v>
      </c>
      <c r="U170" s="2" t="str" cm="1">
        <f t="array" ref="U170">_xlfn.IFS(N170&gt;200000,"PEAK SALES",N170&gt;100000,"GOOD SALES",N170&gt;50000,"AVERAGE SALES",N170&lt;50000,"PROFIT",N170&lt;10000,"LOSS")</f>
        <v>PEAK SALES</v>
      </c>
      <c r="V170" s="2">
        <f t="shared" si="2"/>
        <v>2</v>
      </c>
    </row>
    <row r="171" spans="1:22" x14ac:dyDescent="0.25">
      <c r="A171" s="2">
        <v>2170</v>
      </c>
      <c r="B171" s="2" t="s">
        <v>153</v>
      </c>
      <c r="C171" s="2" t="s">
        <v>72</v>
      </c>
      <c r="D171" s="2" t="s">
        <v>73</v>
      </c>
      <c r="E171" s="2" t="s">
        <v>79</v>
      </c>
      <c r="F171" s="2" t="s">
        <v>34</v>
      </c>
      <c r="G171" s="2" t="s">
        <v>80</v>
      </c>
      <c r="H171" s="2" t="s">
        <v>26</v>
      </c>
      <c r="I171" s="2">
        <v>5</v>
      </c>
      <c r="J171" s="2">
        <v>40193</v>
      </c>
      <c r="K171" s="2">
        <v>11646.3</v>
      </c>
      <c r="L171" s="2">
        <v>20096.5</v>
      </c>
      <c r="M171" s="2">
        <v>139</v>
      </c>
      <c r="N171" s="2">
        <v>209554.2</v>
      </c>
      <c r="O171" s="2" t="s">
        <v>27</v>
      </c>
      <c r="P171" s="2">
        <v>28084</v>
      </c>
      <c r="Q171" s="2" t="s">
        <v>63</v>
      </c>
      <c r="R171" s="2" t="s">
        <v>29</v>
      </c>
      <c r="S171" s="2">
        <v>5</v>
      </c>
      <c r="T171" s="2">
        <v>3</v>
      </c>
      <c r="U171" s="2" t="str" cm="1">
        <f t="array" ref="U171">_xlfn.IFS(N171&gt;200000,"PEAK SALES",N171&gt;100000,"GOOD SALES",N171&gt;50000,"AVERAGE SALES",N171&lt;50000,"PROFIT",N171&lt;10000,"LOSS")</f>
        <v>PEAK SALES</v>
      </c>
      <c r="V171" s="2">
        <f t="shared" si="2"/>
        <v>2</v>
      </c>
    </row>
    <row r="172" spans="1:22" x14ac:dyDescent="0.25">
      <c r="A172" s="2">
        <v>2171</v>
      </c>
      <c r="B172" s="2" t="s">
        <v>112</v>
      </c>
      <c r="C172" s="2" t="s">
        <v>72</v>
      </c>
      <c r="D172" s="2" t="s">
        <v>32</v>
      </c>
      <c r="E172" s="2" t="s">
        <v>56</v>
      </c>
      <c r="F172" s="2" t="s">
        <v>24</v>
      </c>
      <c r="G172" s="2" t="s">
        <v>94</v>
      </c>
      <c r="H172" s="2" t="s">
        <v>42</v>
      </c>
      <c r="I172" s="2">
        <v>5</v>
      </c>
      <c r="J172" s="2">
        <v>9514</v>
      </c>
      <c r="K172" s="2">
        <v>9057.82</v>
      </c>
      <c r="L172" s="2">
        <v>4757</v>
      </c>
      <c r="M172" s="2">
        <v>126</v>
      </c>
      <c r="N172" s="2">
        <v>43395.18</v>
      </c>
      <c r="O172" s="2" t="s">
        <v>43</v>
      </c>
      <c r="P172" s="2">
        <v>5003</v>
      </c>
      <c r="Q172" s="2" t="s">
        <v>28</v>
      </c>
      <c r="R172" s="2" t="s">
        <v>37</v>
      </c>
      <c r="S172" s="2">
        <v>2</v>
      </c>
      <c r="T172" s="2">
        <v>2</v>
      </c>
      <c r="U172" s="2" t="str" cm="1">
        <f t="array" ref="U172">_xlfn.IFS(N172&gt;200000,"PEAK SALES",N172&gt;100000,"GOOD SALES",N172&gt;50000,"AVERAGE SALES",N172&lt;50000,"PROFIT",N172&lt;10000,"LOSS")</f>
        <v>PROFIT</v>
      </c>
      <c r="V172" s="2">
        <f t="shared" si="2"/>
        <v>1</v>
      </c>
    </row>
    <row r="173" spans="1:22" x14ac:dyDescent="0.25">
      <c r="A173" s="2">
        <v>2172</v>
      </c>
      <c r="B173" s="2" t="s">
        <v>121</v>
      </c>
      <c r="C173" s="2" t="s">
        <v>21</v>
      </c>
      <c r="D173" s="2" t="s">
        <v>22</v>
      </c>
      <c r="E173" s="2" t="s">
        <v>54</v>
      </c>
      <c r="F173" s="2" t="s">
        <v>48</v>
      </c>
      <c r="G173" s="2" t="s">
        <v>77</v>
      </c>
      <c r="H173" s="2" t="s">
        <v>61</v>
      </c>
      <c r="I173" s="2">
        <v>3</v>
      </c>
      <c r="J173" s="2">
        <v>57430</v>
      </c>
      <c r="K173" s="2">
        <v>21674.080000000002</v>
      </c>
      <c r="L173" s="2">
        <v>17229</v>
      </c>
      <c r="M173" s="2">
        <v>222</v>
      </c>
      <c r="N173" s="2">
        <v>168066.92</v>
      </c>
      <c r="O173" s="2" t="s">
        <v>27</v>
      </c>
      <c r="P173" s="2">
        <v>33704</v>
      </c>
      <c r="Q173" s="2" t="s">
        <v>52</v>
      </c>
      <c r="R173" s="2" t="s">
        <v>29</v>
      </c>
      <c r="S173" s="2">
        <v>4</v>
      </c>
      <c r="T173" s="2">
        <v>5</v>
      </c>
      <c r="U173" s="2" t="str" cm="1">
        <f t="array" ref="U173">_xlfn.IFS(N173&gt;200000,"PEAK SALES",N173&gt;100000,"GOOD SALES",N173&gt;50000,"AVERAGE SALES",N173&lt;50000,"PROFIT",N173&lt;10000,"LOSS")</f>
        <v>GOOD SALES</v>
      </c>
      <c r="V173" s="2">
        <f t="shared" si="2"/>
        <v>3</v>
      </c>
    </row>
    <row r="174" spans="1:22" x14ac:dyDescent="0.25">
      <c r="A174" s="2">
        <v>2173</v>
      </c>
      <c r="B174" s="2" t="s">
        <v>156</v>
      </c>
      <c r="C174" s="2" t="s">
        <v>87</v>
      </c>
      <c r="D174" s="2" t="s">
        <v>73</v>
      </c>
      <c r="E174" s="2" t="s">
        <v>79</v>
      </c>
      <c r="F174" s="2" t="s">
        <v>24</v>
      </c>
      <c r="G174" s="2" t="s">
        <v>69</v>
      </c>
      <c r="H174" s="2" t="s">
        <v>26</v>
      </c>
      <c r="I174" s="2">
        <v>5</v>
      </c>
      <c r="J174" s="2">
        <v>48808</v>
      </c>
      <c r="K174" s="2">
        <v>40639.620000000003</v>
      </c>
      <c r="L174" s="2">
        <v>24404</v>
      </c>
      <c r="M174" s="2">
        <v>413</v>
      </c>
      <c r="N174" s="2">
        <v>228217.38</v>
      </c>
      <c r="O174" s="2" t="s">
        <v>50</v>
      </c>
      <c r="P174" s="2">
        <v>60625</v>
      </c>
      <c r="Q174" s="2" t="s">
        <v>28</v>
      </c>
      <c r="R174" s="2" t="s">
        <v>44</v>
      </c>
      <c r="S174" s="2">
        <v>3</v>
      </c>
      <c r="T174" s="2">
        <v>1</v>
      </c>
      <c r="U174" s="2" t="str" cm="1">
        <f t="array" ref="U174">_xlfn.IFS(N174&gt;200000,"PEAK SALES",N174&gt;100000,"GOOD SALES",N174&gt;50000,"AVERAGE SALES",N174&lt;50000,"PROFIT",N174&lt;10000,"LOSS")</f>
        <v>PEAK SALES</v>
      </c>
      <c r="V174" s="2">
        <f t="shared" si="2"/>
        <v>2</v>
      </c>
    </row>
    <row r="175" spans="1:22" x14ac:dyDescent="0.25">
      <c r="A175" s="2">
        <v>2174</v>
      </c>
      <c r="B175" s="2" t="s">
        <v>112</v>
      </c>
      <c r="C175" s="2" t="s">
        <v>31</v>
      </c>
      <c r="D175" s="2" t="s">
        <v>73</v>
      </c>
      <c r="E175" s="2" t="s">
        <v>56</v>
      </c>
      <c r="F175" s="2" t="s">
        <v>24</v>
      </c>
      <c r="G175" s="2" t="s">
        <v>94</v>
      </c>
      <c r="H175" s="2" t="s">
        <v>61</v>
      </c>
      <c r="I175" s="2">
        <v>2</v>
      </c>
      <c r="J175" s="2">
        <v>18263</v>
      </c>
      <c r="K175" s="2">
        <v>2968.09</v>
      </c>
      <c r="L175" s="2">
        <v>3652.6</v>
      </c>
      <c r="M175" s="2">
        <v>144</v>
      </c>
      <c r="N175" s="2">
        <v>37354.51</v>
      </c>
      <c r="O175" s="2" t="s">
        <v>50</v>
      </c>
      <c r="P175" s="2">
        <v>7348</v>
      </c>
      <c r="Q175" s="2" t="s">
        <v>28</v>
      </c>
      <c r="R175" s="2" t="s">
        <v>44</v>
      </c>
      <c r="S175" s="2">
        <v>8</v>
      </c>
      <c r="T175" s="2">
        <v>1</v>
      </c>
      <c r="U175" s="2" t="str" cm="1">
        <f t="array" ref="U175">_xlfn.IFS(N175&gt;200000,"PEAK SALES",N175&gt;100000,"GOOD SALES",N175&gt;50000,"AVERAGE SALES",N175&lt;50000,"PROFIT",N175&lt;10000,"LOSS")</f>
        <v>PROFIT</v>
      </c>
      <c r="V175" s="2">
        <f t="shared" si="2"/>
        <v>1</v>
      </c>
    </row>
    <row r="176" spans="1:22" x14ac:dyDescent="0.25">
      <c r="A176" s="2">
        <v>2175</v>
      </c>
      <c r="B176" s="2" t="s">
        <v>131</v>
      </c>
      <c r="C176" s="2" t="s">
        <v>39</v>
      </c>
      <c r="D176" s="2" t="s">
        <v>59</v>
      </c>
      <c r="E176" s="2" t="s">
        <v>23</v>
      </c>
      <c r="F176" s="2" t="s">
        <v>48</v>
      </c>
      <c r="G176" s="2" t="s">
        <v>77</v>
      </c>
      <c r="H176" s="2" t="s">
        <v>42</v>
      </c>
      <c r="I176" s="2">
        <v>2</v>
      </c>
      <c r="J176" s="2">
        <v>24898</v>
      </c>
      <c r="K176" s="2">
        <v>5870.52</v>
      </c>
      <c r="L176" s="2">
        <v>4979.6000000000004</v>
      </c>
      <c r="M176" s="2">
        <v>121</v>
      </c>
      <c r="N176" s="2">
        <v>49026.079999999987</v>
      </c>
      <c r="O176" s="2" t="s">
        <v>50</v>
      </c>
      <c r="P176" s="2">
        <v>9354</v>
      </c>
      <c r="Q176" s="2" t="s">
        <v>52</v>
      </c>
      <c r="R176" s="2" t="s">
        <v>37</v>
      </c>
      <c r="S176" s="2">
        <v>3</v>
      </c>
      <c r="T176" s="2">
        <v>3</v>
      </c>
      <c r="U176" s="2" t="str" cm="1">
        <f t="array" ref="U176">_xlfn.IFS(N176&gt;200000,"PEAK SALES",N176&gt;100000,"GOOD SALES",N176&gt;50000,"AVERAGE SALES",N176&lt;50000,"PROFIT",N176&lt;10000,"LOSS")</f>
        <v>PROFIT</v>
      </c>
      <c r="V176" s="2">
        <f t="shared" si="2"/>
        <v>1</v>
      </c>
    </row>
    <row r="177" spans="1:22" x14ac:dyDescent="0.25">
      <c r="A177" s="2">
        <v>2176</v>
      </c>
      <c r="B177" s="2" t="s">
        <v>146</v>
      </c>
      <c r="C177" s="2" t="s">
        <v>72</v>
      </c>
      <c r="D177" s="2" t="s">
        <v>22</v>
      </c>
      <c r="E177" s="2" t="s">
        <v>33</v>
      </c>
      <c r="F177" s="2" t="s">
        <v>34</v>
      </c>
      <c r="G177" s="2" t="s">
        <v>41</v>
      </c>
      <c r="H177" s="2" t="s">
        <v>26</v>
      </c>
      <c r="I177" s="2">
        <v>2</v>
      </c>
      <c r="J177" s="2">
        <v>23319</v>
      </c>
      <c r="K177" s="2">
        <v>3484.77</v>
      </c>
      <c r="L177" s="2">
        <v>4663.8</v>
      </c>
      <c r="M177" s="2">
        <v>322</v>
      </c>
      <c r="N177" s="2">
        <v>48139.030000000013</v>
      </c>
      <c r="O177" s="2" t="s">
        <v>50</v>
      </c>
      <c r="P177" s="2">
        <v>12021</v>
      </c>
      <c r="Q177" s="2" t="s">
        <v>28</v>
      </c>
      <c r="R177" s="2" t="s">
        <v>44</v>
      </c>
      <c r="S177" s="2">
        <v>9</v>
      </c>
      <c r="T177" s="2">
        <v>2</v>
      </c>
      <c r="U177" s="2" t="str" cm="1">
        <f t="array" ref="U177">_xlfn.IFS(N177&gt;200000,"PEAK SALES",N177&gt;100000,"GOOD SALES",N177&gt;50000,"AVERAGE SALES",N177&lt;50000,"PROFIT",N177&lt;10000,"LOSS")</f>
        <v>PROFIT</v>
      </c>
      <c r="V177" s="2">
        <f t="shared" si="2"/>
        <v>2</v>
      </c>
    </row>
    <row r="178" spans="1:22" x14ac:dyDescent="0.25">
      <c r="A178" s="2">
        <v>2177</v>
      </c>
      <c r="B178" s="2" t="s">
        <v>150</v>
      </c>
      <c r="C178" s="2" t="s">
        <v>72</v>
      </c>
      <c r="D178" s="2" t="s">
        <v>32</v>
      </c>
      <c r="E178" s="2" t="s">
        <v>33</v>
      </c>
      <c r="F178" s="2" t="s">
        <v>48</v>
      </c>
      <c r="G178" s="2" t="s">
        <v>77</v>
      </c>
      <c r="H178" s="2" t="s">
        <v>61</v>
      </c>
      <c r="I178" s="2">
        <v>4</v>
      </c>
      <c r="J178" s="2">
        <v>39149</v>
      </c>
      <c r="K178" s="2">
        <v>23712.62</v>
      </c>
      <c r="L178" s="2">
        <v>15659.6</v>
      </c>
      <c r="M178" s="2">
        <v>126</v>
      </c>
      <c r="N178" s="2">
        <v>148668.98000000001</v>
      </c>
      <c r="O178" s="2" t="s">
        <v>62</v>
      </c>
      <c r="P178" s="2">
        <v>21055</v>
      </c>
      <c r="Q178" s="2" t="s">
        <v>52</v>
      </c>
      <c r="R178" s="2" t="s">
        <v>44</v>
      </c>
      <c r="S178" s="2">
        <v>4</v>
      </c>
      <c r="T178" s="2">
        <v>2</v>
      </c>
      <c r="U178" s="2" t="str" cm="1">
        <f t="array" ref="U178">_xlfn.IFS(N178&gt;200000,"PEAK SALES",N178&gt;100000,"GOOD SALES",N178&gt;50000,"AVERAGE SALES",N178&lt;50000,"PROFIT",N178&lt;10000,"LOSS")</f>
        <v>GOOD SALES</v>
      </c>
      <c r="V178" s="2">
        <f t="shared" si="2"/>
        <v>3</v>
      </c>
    </row>
    <row r="179" spans="1:22" x14ac:dyDescent="0.25">
      <c r="A179" s="2">
        <v>2178</v>
      </c>
      <c r="B179" s="2" t="s">
        <v>157</v>
      </c>
      <c r="C179" s="2" t="s">
        <v>65</v>
      </c>
      <c r="D179" s="2" t="s">
        <v>59</v>
      </c>
      <c r="E179" s="2" t="s">
        <v>103</v>
      </c>
      <c r="F179" s="2" t="s">
        <v>48</v>
      </c>
      <c r="G179" s="2" t="s">
        <v>66</v>
      </c>
      <c r="H179" s="2" t="s">
        <v>26</v>
      </c>
      <c r="I179" s="2">
        <v>2</v>
      </c>
      <c r="J179" s="2">
        <v>31182</v>
      </c>
      <c r="K179" s="2">
        <v>11841.68</v>
      </c>
      <c r="L179" s="2">
        <v>6236.4</v>
      </c>
      <c r="M179" s="2">
        <v>281</v>
      </c>
      <c r="N179" s="2">
        <v>57039.72</v>
      </c>
      <c r="O179" s="2" t="s">
        <v>27</v>
      </c>
      <c r="P179" s="2">
        <v>7411</v>
      </c>
      <c r="Q179" s="2" t="s">
        <v>63</v>
      </c>
      <c r="R179" s="2" t="s">
        <v>44</v>
      </c>
      <c r="S179" s="2">
        <v>6</v>
      </c>
      <c r="T179" s="2">
        <v>1</v>
      </c>
      <c r="U179" s="2" t="str" cm="1">
        <f t="array" ref="U179">_xlfn.IFS(N179&gt;200000,"PEAK SALES",N179&gt;100000,"GOOD SALES",N179&gt;50000,"AVERAGE SALES",N179&lt;50000,"PROFIT",N179&lt;10000,"LOSS")</f>
        <v>AVERAGE SALES</v>
      </c>
      <c r="V179" s="2">
        <f t="shared" si="2"/>
        <v>3</v>
      </c>
    </row>
    <row r="180" spans="1:22" x14ac:dyDescent="0.25">
      <c r="A180" s="2">
        <v>2179</v>
      </c>
      <c r="B180" s="2" t="s">
        <v>158</v>
      </c>
      <c r="C180" s="2" t="s">
        <v>65</v>
      </c>
      <c r="D180" s="2" t="s">
        <v>73</v>
      </c>
      <c r="E180" s="2" t="s">
        <v>33</v>
      </c>
      <c r="F180" s="2" t="s">
        <v>34</v>
      </c>
      <c r="G180" s="2" t="s">
        <v>41</v>
      </c>
      <c r="H180" s="2" t="s">
        <v>42</v>
      </c>
      <c r="I180" s="2">
        <v>2</v>
      </c>
      <c r="J180" s="2">
        <v>32527</v>
      </c>
      <c r="K180" s="2">
        <v>4314.28</v>
      </c>
      <c r="L180" s="2">
        <v>6505.4</v>
      </c>
      <c r="M180" s="2">
        <v>193</v>
      </c>
      <c r="N180" s="2">
        <v>67438.12</v>
      </c>
      <c r="O180" s="2" t="s">
        <v>62</v>
      </c>
      <c r="P180" s="2">
        <v>19407</v>
      </c>
      <c r="Q180" s="2" t="s">
        <v>52</v>
      </c>
      <c r="R180" s="2" t="s">
        <v>29</v>
      </c>
      <c r="S180" s="2">
        <v>8</v>
      </c>
      <c r="T180" s="2">
        <v>1</v>
      </c>
      <c r="U180" s="2" t="str" cm="1">
        <f t="array" ref="U180">_xlfn.IFS(N180&gt;200000,"PEAK SALES",N180&gt;100000,"GOOD SALES",N180&gt;50000,"AVERAGE SALES",N180&lt;50000,"PROFIT",N180&lt;10000,"LOSS")</f>
        <v>AVERAGE SALES</v>
      </c>
      <c r="V180" s="2">
        <f t="shared" si="2"/>
        <v>1</v>
      </c>
    </row>
    <row r="181" spans="1:22" x14ac:dyDescent="0.25">
      <c r="A181" s="2">
        <v>2180</v>
      </c>
      <c r="B181" s="2" t="s">
        <v>159</v>
      </c>
      <c r="C181" s="2" t="s">
        <v>46</v>
      </c>
      <c r="D181" s="2" t="s">
        <v>22</v>
      </c>
      <c r="E181" s="2" t="s">
        <v>40</v>
      </c>
      <c r="F181" s="2" t="s">
        <v>48</v>
      </c>
      <c r="G181" s="2" t="s">
        <v>66</v>
      </c>
      <c r="H181" s="2" t="s">
        <v>61</v>
      </c>
      <c r="I181" s="2">
        <v>3</v>
      </c>
      <c r="J181" s="2">
        <v>13582</v>
      </c>
      <c r="K181" s="2">
        <v>6773.74</v>
      </c>
      <c r="L181" s="2">
        <v>4074.6</v>
      </c>
      <c r="M181" s="2">
        <v>306</v>
      </c>
      <c r="N181" s="2">
        <v>38352.86</v>
      </c>
      <c r="O181" s="2" t="s">
        <v>50</v>
      </c>
      <c r="P181" s="2">
        <v>6794</v>
      </c>
      <c r="Q181" s="2" t="s">
        <v>28</v>
      </c>
      <c r="R181" s="2" t="s">
        <v>44</v>
      </c>
      <c r="S181" s="2">
        <v>7</v>
      </c>
      <c r="T181" s="2">
        <v>2</v>
      </c>
      <c r="U181" s="2" t="str" cm="1">
        <f t="array" ref="U181">_xlfn.IFS(N181&gt;200000,"PEAK SALES",N181&gt;100000,"GOOD SALES",N181&gt;50000,"AVERAGE SALES",N181&lt;50000,"PROFIT",N181&lt;10000,"LOSS")</f>
        <v>PROFIT</v>
      </c>
      <c r="V181" s="2">
        <f t="shared" si="2"/>
        <v>3</v>
      </c>
    </row>
    <row r="182" spans="1:22" x14ac:dyDescent="0.25">
      <c r="A182" s="2">
        <v>2181</v>
      </c>
      <c r="B182" s="2" t="s">
        <v>146</v>
      </c>
      <c r="C182" s="2" t="s">
        <v>75</v>
      </c>
      <c r="D182" s="2" t="s">
        <v>59</v>
      </c>
      <c r="E182" s="2" t="s">
        <v>79</v>
      </c>
      <c r="F182" s="2" t="s">
        <v>34</v>
      </c>
      <c r="G182" s="2" t="s">
        <v>41</v>
      </c>
      <c r="H182" s="2" t="s">
        <v>36</v>
      </c>
      <c r="I182" s="2">
        <v>5</v>
      </c>
      <c r="J182" s="2">
        <v>48007</v>
      </c>
      <c r="K182" s="2">
        <v>39541.339999999997</v>
      </c>
      <c r="L182" s="2">
        <v>24003.5</v>
      </c>
      <c r="M182" s="2">
        <v>456</v>
      </c>
      <c r="N182" s="2">
        <v>224953.16</v>
      </c>
      <c r="O182" s="2" t="s">
        <v>50</v>
      </c>
      <c r="P182" s="2">
        <v>47761</v>
      </c>
      <c r="Q182" s="2" t="s">
        <v>28</v>
      </c>
      <c r="R182" s="2" t="s">
        <v>29</v>
      </c>
      <c r="S182" s="2">
        <v>9</v>
      </c>
      <c r="T182" s="2">
        <v>3</v>
      </c>
      <c r="U182" s="2" t="str" cm="1">
        <f t="array" ref="U182">_xlfn.IFS(N182&gt;200000,"PEAK SALES",N182&gt;100000,"GOOD SALES",N182&gt;50000,"AVERAGE SALES",N182&lt;50000,"PROFIT",N182&lt;10000,"LOSS")</f>
        <v>PEAK SALES</v>
      </c>
      <c r="V182" s="2">
        <f t="shared" si="2"/>
        <v>2</v>
      </c>
    </row>
    <row r="183" spans="1:22" x14ac:dyDescent="0.25">
      <c r="A183" s="2">
        <v>2182</v>
      </c>
      <c r="B183" s="2" t="s">
        <v>128</v>
      </c>
      <c r="C183" s="2" t="s">
        <v>87</v>
      </c>
      <c r="D183" s="2" t="s">
        <v>59</v>
      </c>
      <c r="E183" s="2" t="s">
        <v>56</v>
      </c>
      <c r="F183" s="2" t="s">
        <v>24</v>
      </c>
      <c r="G183" s="2" t="s">
        <v>69</v>
      </c>
      <c r="H183" s="2" t="s">
        <v>36</v>
      </c>
      <c r="I183" s="2">
        <v>2</v>
      </c>
      <c r="J183" s="2">
        <v>20649</v>
      </c>
      <c r="K183" s="2">
        <v>8200.9699999999993</v>
      </c>
      <c r="L183" s="2">
        <v>4129.8</v>
      </c>
      <c r="M183" s="2">
        <v>450</v>
      </c>
      <c r="N183" s="2">
        <v>37676.83</v>
      </c>
      <c r="O183" s="2" t="s">
        <v>62</v>
      </c>
      <c r="P183" s="2">
        <v>7069</v>
      </c>
      <c r="Q183" s="2" t="s">
        <v>52</v>
      </c>
      <c r="R183" s="2" t="s">
        <v>29</v>
      </c>
      <c r="S183" s="2">
        <v>5</v>
      </c>
      <c r="T183" s="2">
        <v>5</v>
      </c>
      <c r="U183" s="2" t="str" cm="1">
        <f t="array" ref="U183">_xlfn.IFS(N183&gt;200000,"PEAK SALES",N183&gt;100000,"GOOD SALES",N183&gt;50000,"AVERAGE SALES",N183&lt;50000,"PROFIT",N183&lt;10000,"LOSS")</f>
        <v>PROFIT</v>
      </c>
      <c r="V183" s="2">
        <f t="shared" si="2"/>
        <v>2</v>
      </c>
    </row>
    <row r="184" spans="1:22" x14ac:dyDescent="0.25">
      <c r="A184" s="2">
        <v>2183</v>
      </c>
      <c r="B184" s="2" t="s">
        <v>85</v>
      </c>
      <c r="C184" s="2" t="s">
        <v>58</v>
      </c>
      <c r="D184" s="2" t="s">
        <v>32</v>
      </c>
      <c r="E184" s="2" t="s">
        <v>79</v>
      </c>
      <c r="F184" s="2" t="s">
        <v>34</v>
      </c>
      <c r="G184" s="2" t="s">
        <v>41</v>
      </c>
      <c r="H184" s="2" t="s">
        <v>42</v>
      </c>
      <c r="I184" s="2">
        <v>3</v>
      </c>
      <c r="J184" s="2">
        <v>54024</v>
      </c>
      <c r="K184" s="2">
        <v>22349.8</v>
      </c>
      <c r="L184" s="2">
        <v>16207.2</v>
      </c>
      <c r="M184" s="2">
        <v>452</v>
      </c>
      <c r="N184" s="2">
        <v>156381.4</v>
      </c>
      <c r="O184" s="2" t="s">
        <v>27</v>
      </c>
      <c r="P184" s="2">
        <v>31693</v>
      </c>
      <c r="Q184" s="2" t="s">
        <v>52</v>
      </c>
      <c r="R184" s="2" t="s">
        <v>44</v>
      </c>
      <c r="S184" s="2">
        <v>5</v>
      </c>
      <c r="T184" s="2">
        <v>1</v>
      </c>
      <c r="U184" s="2" t="str" cm="1">
        <f t="array" ref="U184">_xlfn.IFS(N184&gt;200000,"PEAK SALES",N184&gt;100000,"GOOD SALES",N184&gt;50000,"AVERAGE SALES",N184&lt;50000,"PROFIT",N184&lt;10000,"LOSS")</f>
        <v>GOOD SALES</v>
      </c>
      <c r="V184" s="2">
        <f t="shared" si="2"/>
        <v>1</v>
      </c>
    </row>
    <row r="185" spans="1:22" x14ac:dyDescent="0.25">
      <c r="A185" s="2">
        <v>2184</v>
      </c>
      <c r="B185" s="2" t="s">
        <v>88</v>
      </c>
      <c r="C185" s="2" t="s">
        <v>87</v>
      </c>
      <c r="D185" s="2" t="s">
        <v>22</v>
      </c>
      <c r="E185" s="2" t="s">
        <v>79</v>
      </c>
      <c r="F185" s="2" t="s">
        <v>24</v>
      </c>
      <c r="G185" s="2" t="s">
        <v>94</v>
      </c>
      <c r="H185" s="2" t="s">
        <v>26</v>
      </c>
      <c r="I185" s="2">
        <v>1</v>
      </c>
      <c r="J185" s="2">
        <v>55046</v>
      </c>
      <c r="K185" s="2">
        <v>10730.87</v>
      </c>
      <c r="L185" s="2">
        <v>5504.6</v>
      </c>
      <c r="M185" s="2">
        <v>230</v>
      </c>
      <c r="N185" s="2">
        <v>50049.73</v>
      </c>
      <c r="O185" s="2" t="s">
        <v>50</v>
      </c>
      <c r="P185" s="2">
        <v>6570</v>
      </c>
      <c r="Q185" s="2" t="s">
        <v>28</v>
      </c>
      <c r="R185" s="2" t="s">
        <v>29</v>
      </c>
      <c r="S185" s="2">
        <v>8</v>
      </c>
      <c r="T185" s="2">
        <v>4</v>
      </c>
      <c r="U185" s="2" t="str" cm="1">
        <f t="array" ref="U185">_xlfn.IFS(N185&gt;200000,"PEAK SALES",N185&gt;100000,"GOOD SALES",N185&gt;50000,"AVERAGE SALES",N185&lt;50000,"PROFIT",N185&lt;10000,"LOSS")</f>
        <v>AVERAGE SALES</v>
      </c>
      <c r="V185" s="2">
        <f t="shared" si="2"/>
        <v>3</v>
      </c>
    </row>
    <row r="186" spans="1:22" x14ac:dyDescent="0.25">
      <c r="A186" s="2">
        <v>2185</v>
      </c>
      <c r="B186" s="2" t="s">
        <v>156</v>
      </c>
      <c r="C186" s="2" t="s">
        <v>39</v>
      </c>
      <c r="D186" s="2" t="s">
        <v>59</v>
      </c>
      <c r="E186" s="2" t="s">
        <v>56</v>
      </c>
      <c r="F186" s="2" t="s">
        <v>48</v>
      </c>
      <c r="G186" s="2" t="s">
        <v>66</v>
      </c>
      <c r="H186" s="2" t="s">
        <v>42</v>
      </c>
      <c r="I186" s="2">
        <v>4</v>
      </c>
      <c r="J186" s="2">
        <v>19191</v>
      </c>
      <c r="K186" s="2">
        <v>14520.28</v>
      </c>
      <c r="L186" s="2">
        <v>7676.4</v>
      </c>
      <c r="M186" s="2">
        <v>269</v>
      </c>
      <c r="N186" s="2">
        <v>70189.119999999995</v>
      </c>
      <c r="O186" s="2" t="s">
        <v>43</v>
      </c>
      <c r="P186" s="2">
        <v>17172</v>
      </c>
      <c r="Q186" s="2" t="s">
        <v>28</v>
      </c>
      <c r="R186" s="2" t="s">
        <v>37</v>
      </c>
      <c r="S186" s="2">
        <v>8</v>
      </c>
      <c r="T186" s="2">
        <v>4</v>
      </c>
      <c r="U186" s="2" t="str" cm="1">
        <f t="array" ref="U186">_xlfn.IFS(N186&gt;200000,"PEAK SALES",N186&gt;100000,"GOOD SALES",N186&gt;50000,"AVERAGE SALES",N186&lt;50000,"PROFIT",N186&lt;10000,"LOSS")</f>
        <v>AVERAGE SALES</v>
      </c>
      <c r="V186" s="2">
        <f t="shared" si="2"/>
        <v>2</v>
      </c>
    </row>
    <row r="187" spans="1:22" x14ac:dyDescent="0.25">
      <c r="A187" s="2">
        <v>2186</v>
      </c>
      <c r="B187" s="2" t="s">
        <v>121</v>
      </c>
      <c r="C187" s="2" t="s">
        <v>21</v>
      </c>
      <c r="D187" s="2" t="s">
        <v>59</v>
      </c>
      <c r="E187" s="2" t="s">
        <v>103</v>
      </c>
      <c r="F187" s="2" t="s">
        <v>48</v>
      </c>
      <c r="G187" s="2" t="s">
        <v>66</v>
      </c>
      <c r="H187" s="2" t="s">
        <v>61</v>
      </c>
      <c r="I187" s="2">
        <v>4</v>
      </c>
      <c r="J187" s="2">
        <v>29768</v>
      </c>
      <c r="K187" s="2">
        <v>9248.33</v>
      </c>
      <c r="L187" s="2">
        <v>11907.2</v>
      </c>
      <c r="M187" s="2">
        <v>332</v>
      </c>
      <c r="N187" s="2">
        <v>122062.87</v>
      </c>
      <c r="O187" s="2" t="s">
        <v>43</v>
      </c>
      <c r="P187" s="2">
        <v>32753</v>
      </c>
      <c r="Q187" s="2" t="s">
        <v>63</v>
      </c>
      <c r="R187" s="2" t="s">
        <v>29</v>
      </c>
      <c r="S187" s="2">
        <v>8</v>
      </c>
      <c r="T187" s="2">
        <v>4</v>
      </c>
      <c r="U187" s="2" t="str" cm="1">
        <f t="array" ref="U187">_xlfn.IFS(N187&gt;200000,"PEAK SALES",N187&gt;100000,"GOOD SALES",N187&gt;50000,"AVERAGE SALES",N187&lt;50000,"PROFIT",N187&lt;10000,"LOSS")</f>
        <v>GOOD SALES</v>
      </c>
      <c r="V187" s="2">
        <f t="shared" si="2"/>
        <v>3</v>
      </c>
    </row>
    <row r="188" spans="1:22" x14ac:dyDescent="0.25">
      <c r="A188" s="2">
        <v>2187</v>
      </c>
      <c r="B188" s="2" t="s">
        <v>92</v>
      </c>
      <c r="C188" s="2" t="s">
        <v>68</v>
      </c>
      <c r="D188" s="2" t="s">
        <v>73</v>
      </c>
      <c r="E188" s="2" t="s">
        <v>23</v>
      </c>
      <c r="F188" s="2" t="s">
        <v>34</v>
      </c>
      <c r="G188" s="2" t="s">
        <v>35</v>
      </c>
      <c r="H188" s="2" t="s">
        <v>36</v>
      </c>
      <c r="I188" s="2">
        <v>1</v>
      </c>
      <c r="J188" s="2">
        <v>50582</v>
      </c>
      <c r="K188" s="2">
        <v>2876.51</v>
      </c>
      <c r="L188" s="2">
        <v>5058.2</v>
      </c>
      <c r="M188" s="2">
        <v>237</v>
      </c>
      <c r="N188" s="2">
        <v>53000.69</v>
      </c>
      <c r="O188" s="2" t="s">
        <v>43</v>
      </c>
      <c r="P188" s="2">
        <v>14801</v>
      </c>
      <c r="Q188" s="2" t="s">
        <v>28</v>
      </c>
      <c r="R188" s="2" t="s">
        <v>37</v>
      </c>
      <c r="S188" s="2">
        <v>6</v>
      </c>
      <c r="T188" s="2">
        <v>4</v>
      </c>
      <c r="U188" s="2" t="str" cm="1">
        <f t="array" ref="U188">_xlfn.IFS(N188&gt;200000,"PEAK SALES",N188&gt;100000,"GOOD SALES",N188&gt;50000,"AVERAGE SALES",N188&lt;50000,"PROFIT",N188&lt;10000,"LOSS")</f>
        <v>AVERAGE SALES</v>
      </c>
      <c r="V188" s="2">
        <f t="shared" si="2"/>
        <v>1</v>
      </c>
    </row>
    <row r="189" spans="1:22" x14ac:dyDescent="0.25">
      <c r="A189" s="2">
        <v>2188</v>
      </c>
      <c r="B189" s="2" t="s">
        <v>160</v>
      </c>
      <c r="C189" s="2" t="s">
        <v>58</v>
      </c>
      <c r="D189" s="2" t="s">
        <v>59</v>
      </c>
      <c r="E189" s="2" t="s">
        <v>103</v>
      </c>
      <c r="F189" s="2" t="s">
        <v>48</v>
      </c>
      <c r="G189" s="2" t="s">
        <v>77</v>
      </c>
      <c r="H189" s="2" t="s">
        <v>42</v>
      </c>
      <c r="I189" s="2">
        <v>2</v>
      </c>
      <c r="J189" s="2">
        <v>42324</v>
      </c>
      <c r="K189" s="2">
        <v>4454.97</v>
      </c>
      <c r="L189" s="2">
        <v>8464.7999999999993</v>
      </c>
      <c r="M189" s="2">
        <v>85</v>
      </c>
      <c r="N189" s="2">
        <v>88742.83</v>
      </c>
      <c r="O189" s="2" t="s">
        <v>50</v>
      </c>
      <c r="P189" s="2">
        <v>15316</v>
      </c>
      <c r="Q189" s="2" t="s">
        <v>63</v>
      </c>
      <c r="R189" s="2" t="s">
        <v>37</v>
      </c>
      <c r="S189" s="2">
        <v>9</v>
      </c>
      <c r="T189" s="2">
        <v>2</v>
      </c>
      <c r="U189" s="2" t="str" cm="1">
        <f t="array" ref="U189">_xlfn.IFS(N189&gt;200000,"PEAK SALES",N189&gt;100000,"GOOD SALES",N189&gt;50000,"AVERAGE SALES",N189&lt;50000,"PROFIT",N189&lt;10000,"LOSS")</f>
        <v>AVERAGE SALES</v>
      </c>
      <c r="V189" s="2">
        <f t="shared" si="2"/>
        <v>2</v>
      </c>
    </row>
    <row r="190" spans="1:22" x14ac:dyDescent="0.25">
      <c r="A190" s="2">
        <v>2189</v>
      </c>
      <c r="B190" s="2" t="s">
        <v>161</v>
      </c>
      <c r="C190" s="2" t="s">
        <v>65</v>
      </c>
      <c r="D190" s="2" t="s">
        <v>59</v>
      </c>
      <c r="E190" s="2" t="s">
        <v>33</v>
      </c>
      <c r="F190" s="2" t="s">
        <v>48</v>
      </c>
      <c r="G190" s="2" t="s">
        <v>66</v>
      </c>
      <c r="H190" s="2" t="s">
        <v>36</v>
      </c>
      <c r="I190" s="2">
        <v>2</v>
      </c>
      <c r="J190" s="2">
        <v>32924</v>
      </c>
      <c r="K190" s="2">
        <v>12131.02</v>
      </c>
      <c r="L190" s="2">
        <v>6584.8</v>
      </c>
      <c r="M190" s="2">
        <v>482</v>
      </c>
      <c r="N190" s="2">
        <v>60783.78</v>
      </c>
      <c r="O190" s="2" t="s">
        <v>27</v>
      </c>
      <c r="P190" s="2">
        <v>7476</v>
      </c>
      <c r="Q190" s="2" t="s">
        <v>52</v>
      </c>
      <c r="R190" s="2" t="s">
        <v>37</v>
      </c>
      <c r="S190" s="2">
        <v>4</v>
      </c>
      <c r="T190" s="2">
        <v>4</v>
      </c>
      <c r="U190" s="2" t="str" cm="1">
        <f t="array" ref="U190">_xlfn.IFS(N190&gt;200000,"PEAK SALES",N190&gt;100000,"GOOD SALES",N190&gt;50000,"AVERAGE SALES",N190&lt;50000,"PROFIT",N190&lt;10000,"LOSS")</f>
        <v>AVERAGE SALES</v>
      </c>
      <c r="V190" s="2">
        <f t="shared" si="2"/>
        <v>2</v>
      </c>
    </row>
    <row r="191" spans="1:22" x14ac:dyDescent="0.25">
      <c r="A191" s="2">
        <v>2190</v>
      </c>
      <c r="B191" s="2" t="s">
        <v>88</v>
      </c>
      <c r="C191" s="2" t="s">
        <v>21</v>
      </c>
      <c r="D191" s="2" t="s">
        <v>22</v>
      </c>
      <c r="E191" s="2" t="s">
        <v>79</v>
      </c>
      <c r="F191" s="2" t="s">
        <v>24</v>
      </c>
      <c r="G191" s="2" t="s">
        <v>94</v>
      </c>
      <c r="H191" s="2" t="s">
        <v>36</v>
      </c>
      <c r="I191" s="2">
        <v>1</v>
      </c>
      <c r="J191" s="2">
        <v>57748</v>
      </c>
      <c r="K191" s="2">
        <v>7199.23</v>
      </c>
      <c r="L191" s="2">
        <v>5774.8</v>
      </c>
      <c r="M191" s="2">
        <v>450</v>
      </c>
      <c r="N191" s="2">
        <v>56773.570000000007</v>
      </c>
      <c r="O191" s="2" t="s">
        <v>27</v>
      </c>
      <c r="P191" s="2">
        <v>13490</v>
      </c>
      <c r="Q191" s="2" t="s">
        <v>63</v>
      </c>
      <c r="R191" s="2" t="s">
        <v>44</v>
      </c>
      <c r="S191" s="2">
        <v>8</v>
      </c>
      <c r="T191" s="2">
        <v>5</v>
      </c>
      <c r="U191" s="2" t="str" cm="1">
        <f t="array" ref="U191">_xlfn.IFS(N191&gt;200000,"PEAK SALES",N191&gt;100000,"GOOD SALES",N191&gt;50000,"AVERAGE SALES",N191&lt;50000,"PROFIT",N191&lt;10000,"LOSS")</f>
        <v>AVERAGE SALES</v>
      </c>
      <c r="V191" s="2">
        <f t="shared" si="2"/>
        <v>3</v>
      </c>
    </row>
    <row r="192" spans="1:22" x14ac:dyDescent="0.25">
      <c r="A192" s="2">
        <v>2191</v>
      </c>
      <c r="B192" s="2" t="s">
        <v>162</v>
      </c>
      <c r="C192" s="2" t="s">
        <v>75</v>
      </c>
      <c r="D192" s="2" t="s">
        <v>59</v>
      </c>
      <c r="E192" s="2" t="s">
        <v>103</v>
      </c>
      <c r="F192" s="2" t="s">
        <v>34</v>
      </c>
      <c r="G192" s="2" t="s">
        <v>80</v>
      </c>
      <c r="H192" s="2" t="s">
        <v>42</v>
      </c>
      <c r="I192" s="2">
        <v>1</v>
      </c>
      <c r="J192" s="2">
        <v>47489</v>
      </c>
      <c r="K192" s="2">
        <v>8376.65</v>
      </c>
      <c r="L192" s="2">
        <v>4748.8999999999996</v>
      </c>
      <c r="M192" s="2">
        <v>122</v>
      </c>
      <c r="N192" s="2">
        <v>43983.25</v>
      </c>
      <c r="O192" s="2" t="s">
        <v>27</v>
      </c>
      <c r="P192" s="2">
        <v>4458</v>
      </c>
      <c r="Q192" s="2" t="s">
        <v>28</v>
      </c>
      <c r="R192" s="2" t="s">
        <v>44</v>
      </c>
      <c r="S192" s="2">
        <v>5</v>
      </c>
      <c r="T192" s="2">
        <v>3</v>
      </c>
      <c r="U192" s="2" t="str" cm="1">
        <f t="array" ref="U192">_xlfn.IFS(N192&gt;200000,"PEAK SALES",N192&gt;100000,"GOOD SALES",N192&gt;50000,"AVERAGE SALES",N192&lt;50000,"PROFIT",N192&lt;10000,"LOSS")</f>
        <v>PROFIT</v>
      </c>
      <c r="V192" s="2">
        <f t="shared" si="2"/>
        <v>4</v>
      </c>
    </row>
    <row r="193" spans="1:22" x14ac:dyDescent="0.25">
      <c r="A193" s="2">
        <v>2192</v>
      </c>
      <c r="B193" s="2" t="s">
        <v>118</v>
      </c>
      <c r="C193" s="2" t="s">
        <v>87</v>
      </c>
      <c r="D193" s="2" t="s">
        <v>73</v>
      </c>
      <c r="E193" s="2" t="s">
        <v>47</v>
      </c>
      <c r="F193" s="2" t="s">
        <v>24</v>
      </c>
      <c r="G193" s="2" t="s">
        <v>69</v>
      </c>
      <c r="H193" s="2" t="s">
        <v>26</v>
      </c>
      <c r="I193" s="2">
        <v>3</v>
      </c>
      <c r="J193" s="2">
        <v>29405</v>
      </c>
      <c r="K193" s="2">
        <v>8828.18</v>
      </c>
      <c r="L193" s="2">
        <v>8821.5</v>
      </c>
      <c r="M193" s="2">
        <v>200</v>
      </c>
      <c r="N193" s="2">
        <v>88408.320000000007</v>
      </c>
      <c r="O193" s="2" t="s">
        <v>62</v>
      </c>
      <c r="P193" s="2">
        <v>23042</v>
      </c>
      <c r="Q193" s="2" t="s">
        <v>52</v>
      </c>
      <c r="R193" s="2" t="s">
        <v>44</v>
      </c>
      <c r="S193" s="2">
        <v>5</v>
      </c>
      <c r="T193" s="2">
        <v>4</v>
      </c>
      <c r="U193" s="2" t="str" cm="1">
        <f t="array" ref="U193">_xlfn.IFS(N193&gt;200000,"PEAK SALES",N193&gt;100000,"GOOD SALES",N193&gt;50000,"AVERAGE SALES",N193&lt;50000,"PROFIT",N193&lt;10000,"LOSS")</f>
        <v>AVERAGE SALES</v>
      </c>
      <c r="V193" s="2">
        <f t="shared" si="2"/>
        <v>4</v>
      </c>
    </row>
    <row r="194" spans="1:22" x14ac:dyDescent="0.25">
      <c r="A194" s="2">
        <v>2193</v>
      </c>
      <c r="B194" s="2" t="s">
        <v>120</v>
      </c>
      <c r="C194" s="2" t="s">
        <v>87</v>
      </c>
      <c r="D194" s="2" t="s">
        <v>32</v>
      </c>
      <c r="E194" s="2" t="s">
        <v>47</v>
      </c>
      <c r="F194" s="2" t="s">
        <v>34</v>
      </c>
      <c r="G194" s="2" t="s">
        <v>60</v>
      </c>
      <c r="H194" s="2" t="s">
        <v>26</v>
      </c>
      <c r="I194" s="2">
        <v>3</v>
      </c>
      <c r="J194" s="2">
        <v>2609</v>
      </c>
      <c r="K194" s="2">
        <v>1112.93</v>
      </c>
      <c r="L194" s="2">
        <v>782.7</v>
      </c>
      <c r="M194" s="2">
        <v>250</v>
      </c>
      <c r="N194" s="2">
        <v>7746.77</v>
      </c>
      <c r="O194" s="2" t="s">
        <v>50</v>
      </c>
      <c r="P194" s="2">
        <v>2180</v>
      </c>
      <c r="Q194" s="2" t="s">
        <v>28</v>
      </c>
      <c r="R194" s="2" t="s">
        <v>29</v>
      </c>
      <c r="S194" s="2">
        <v>5</v>
      </c>
      <c r="T194" s="2">
        <v>3</v>
      </c>
      <c r="U194" s="2" t="str" cm="1">
        <f t="array" ref="U194">_xlfn.IFS(N194&gt;200000,"PEAK SALES",N194&gt;100000,"GOOD SALES",N194&gt;50000,"AVERAGE SALES",N194&lt;50000,"PROFIT",N194&lt;10000,"LOSS")</f>
        <v>PROFIT</v>
      </c>
      <c r="V194" s="2">
        <f t="shared" si="2"/>
        <v>4</v>
      </c>
    </row>
    <row r="195" spans="1:22" x14ac:dyDescent="0.25">
      <c r="A195" s="2">
        <v>2194</v>
      </c>
      <c r="B195" s="2" t="s">
        <v>163</v>
      </c>
      <c r="C195" s="2" t="s">
        <v>65</v>
      </c>
      <c r="D195" s="2" t="s">
        <v>73</v>
      </c>
      <c r="E195" s="2" t="s">
        <v>23</v>
      </c>
      <c r="F195" s="2" t="s">
        <v>24</v>
      </c>
      <c r="G195" s="2" t="s">
        <v>25</v>
      </c>
      <c r="H195" s="2" t="s">
        <v>36</v>
      </c>
      <c r="I195" s="2">
        <v>1</v>
      </c>
      <c r="J195" s="2">
        <v>26686</v>
      </c>
      <c r="K195" s="2">
        <v>1788.69</v>
      </c>
      <c r="L195" s="2">
        <v>2668.6</v>
      </c>
      <c r="M195" s="2">
        <v>381</v>
      </c>
      <c r="N195" s="2">
        <v>27946.91</v>
      </c>
      <c r="O195" s="2" t="s">
        <v>43</v>
      </c>
      <c r="P195" s="2">
        <v>7451</v>
      </c>
      <c r="Q195" s="2" t="s">
        <v>63</v>
      </c>
      <c r="R195" s="2" t="s">
        <v>29</v>
      </c>
      <c r="S195" s="2">
        <v>2</v>
      </c>
      <c r="T195" s="2">
        <v>2</v>
      </c>
      <c r="U195" s="2" t="str" cm="1">
        <f t="array" ref="U195">_xlfn.IFS(N195&gt;200000,"PEAK SALES",N195&gt;100000,"GOOD SALES",N195&gt;50000,"AVERAGE SALES",N195&lt;50000,"PROFIT",N195&lt;10000,"LOSS")</f>
        <v>PROFIT</v>
      </c>
      <c r="V195" s="2">
        <f t="shared" ref="V195:V258" si="3">MONTH(B195)</f>
        <v>2</v>
      </c>
    </row>
    <row r="196" spans="1:22" x14ac:dyDescent="0.25">
      <c r="A196" s="2">
        <v>2195</v>
      </c>
      <c r="B196" s="2" t="s">
        <v>55</v>
      </c>
      <c r="C196" s="2" t="s">
        <v>31</v>
      </c>
      <c r="D196" s="2" t="s">
        <v>73</v>
      </c>
      <c r="E196" s="2" t="s">
        <v>54</v>
      </c>
      <c r="F196" s="2" t="s">
        <v>24</v>
      </c>
      <c r="G196" s="2" t="s">
        <v>25</v>
      </c>
      <c r="H196" s="2" t="s">
        <v>36</v>
      </c>
      <c r="I196" s="2">
        <v>1</v>
      </c>
      <c r="J196" s="2">
        <v>35468</v>
      </c>
      <c r="K196" s="2">
        <v>4361.59</v>
      </c>
      <c r="L196" s="2">
        <v>3546.8</v>
      </c>
      <c r="M196" s="2">
        <v>462</v>
      </c>
      <c r="N196" s="2">
        <v>35115.21</v>
      </c>
      <c r="O196" s="2" t="s">
        <v>43</v>
      </c>
      <c r="P196" s="2">
        <v>6658</v>
      </c>
      <c r="Q196" s="2" t="s">
        <v>63</v>
      </c>
      <c r="R196" s="2" t="s">
        <v>29</v>
      </c>
      <c r="S196" s="2">
        <v>6</v>
      </c>
      <c r="T196" s="2">
        <v>4</v>
      </c>
      <c r="U196" s="2" t="str" cm="1">
        <f t="array" ref="U196">_xlfn.IFS(N196&gt;200000,"PEAK SALES",N196&gt;100000,"GOOD SALES",N196&gt;50000,"AVERAGE SALES",N196&lt;50000,"PROFIT",N196&lt;10000,"LOSS")</f>
        <v>PROFIT</v>
      </c>
      <c r="V196" s="2">
        <f t="shared" si="3"/>
        <v>2</v>
      </c>
    </row>
    <row r="197" spans="1:22" x14ac:dyDescent="0.25">
      <c r="A197" s="2">
        <v>2196</v>
      </c>
      <c r="B197" s="2" t="s">
        <v>164</v>
      </c>
      <c r="C197" s="2" t="s">
        <v>75</v>
      </c>
      <c r="D197" s="2" t="s">
        <v>22</v>
      </c>
      <c r="E197" s="2" t="s">
        <v>47</v>
      </c>
      <c r="F197" s="2" t="s">
        <v>48</v>
      </c>
      <c r="G197" s="2" t="s">
        <v>66</v>
      </c>
      <c r="H197" s="2" t="s">
        <v>36</v>
      </c>
      <c r="I197" s="2">
        <v>1</v>
      </c>
      <c r="J197" s="2">
        <v>10013</v>
      </c>
      <c r="K197" s="2">
        <v>1105.03</v>
      </c>
      <c r="L197" s="2">
        <v>1001.3</v>
      </c>
      <c r="M197" s="2">
        <v>230</v>
      </c>
      <c r="N197" s="2">
        <v>10139.27</v>
      </c>
      <c r="O197" s="2" t="s">
        <v>50</v>
      </c>
      <c r="P197" s="2">
        <v>2600</v>
      </c>
      <c r="Q197" s="2" t="s">
        <v>28</v>
      </c>
      <c r="R197" s="2" t="s">
        <v>44</v>
      </c>
      <c r="S197" s="2">
        <v>1</v>
      </c>
      <c r="T197" s="2">
        <v>5</v>
      </c>
      <c r="U197" s="2" t="str" cm="1">
        <f t="array" ref="U197">_xlfn.IFS(N197&gt;200000,"PEAK SALES",N197&gt;100000,"GOOD SALES",N197&gt;50000,"AVERAGE SALES",N197&lt;50000,"PROFIT",N197&lt;10000,"LOSS")</f>
        <v>PROFIT</v>
      </c>
      <c r="V197" s="2">
        <f t="shared" si="3"/>
        <v>4</v>
      </c>
    </row>
    <row r="198" spans="1:22" x14ac:dyDescent="0.25">
      <c r="A198" s="2">
        <v>2197</v>
      </c>
      <c r="B198" s="2" t="s">
        <v>119</v>
      </c>
      <c r="C198" s="2" t="s">
        <v>68</v>
      </c>
      <c r="D198" s="2" t="s">
        <v>22</v>
      </c>
      <c r="E198" s="2" t="s">
        <v>40</v>
      </c>
      <c r="F198" s="2" t="s">
        <v>24</v>
      </c>
      <c r="G198" s="2" t="s">
        <v>69</v>
      </c>
      <c r="H198" s="2" t="s">
        <v>61</v>
      </c>
      <c r="I198" s="2">
        <v>4</v>
      </c>
      <c r="J198" s="2">
        <v>47188</v>
      </c>
      <c r="K198" s="2">
        <v>29583.46</v>
      </c>
      <c r="L198" s="2">
        <v>18875.2</v>
      </c>
      <c r="M198" s="2">
        <v>319</v>
      </c>
      <c r="N198" s="2">
        <v>178362.74</v>
      </c>
      <c r="O198" s="2" t="s">
        <v>27</v>
      </c>
      <c r="P198" s="2">
        <v>21191</v>
      </c>
      <c r="Q198" s="2" t="s">
        <v>28</v>
      </c>
      <c r="R198" s="2" t="s">
        <v>37</v>
      </c>
      <c r="S198" s="2">
        <v>1</v>
      </c>
      <c r="T198" s="2">
        <v>4</v>
      </c>
      <c r="U198" s="2" t="str" cm="1">
        <f t="array" ref="U198">_xlfn.IFS(N198&gt;200000,"PEAK SALES",N198&gt;100000,"GOOD SALES",N198&gt;50000,"AVERAGE SALES",N198&lt;50000,"PROFIT",N198&lt;10000,"LOSS")</f>
        <v>GOOD SALES</v>
      </c>
      <c r="V198" s="2">
        <f t="shared" si="3"/>
        <v>2</v>
      </c>
    </row>
    <row r="199" spans="1:22" x14ac:dyDescent="0.25">
      <c r="A199" s="2">
        <v>2198</v>
      </c>
      <c r="B199" s="2" t="s">
        <v>55</v>
      </c>
      <c r="C199" s="2" t="s">
        <v>72</v>
      </c>
      <c r="D199" s="2" t="s">
        <v>22</v>
      </c>
      <c r="E199" s="2" t="s">
        <v>47</v>
      </c>
      <c r="F199" s="2" t="s">
        <v>48</v>
      </c>
      <c r="G199" s="2" t="s">
        <v>49</v>
      </c>
      <c r="H199" s="2" t="s">
        <v>61</v>
      </c>
      <c r="I199" s="2">
        <v>5</v>
      </c>
      <c r="J199" s="2">
        <v>26235</v>
      </c>
      <c r="K199" s="2">
        <v>6872.86</v>
      </c>
      <c r="L199" s="2">
        <v>13117.5</v>
      </c>
      <c r="M199" s="2">
        <v>397</v>
      </c>
      <c r="N199" s="2">
        <v>137816.64000000001</v>
      </c>
      <c r="O199" s="2" t="s">
        <v>27</v>
      </c>
      <c r="P199" s="2">
        <v>18212</v>
      </c>
      <c r="Q199" s="2" t="s">
        <v>28</v>
      </c>
      <c r="R199" s="2" t="s">
        <v>29</v>
      </c>
      <c r="S199" s="2">
        <v>4</v>
      </c>
      <c r="T199" s="2">
        <v>4</v>
      </c>
      <c r="U199" s="2" t="str" cm="1">
        <f t="array" ref="U199">_xlfn.IFS(N199&gt;200000,"PEAK SALES",N199&gt;100000,"GOOD SALES",N199&gt;50000,"AVERAGE SALES",N199&lt;50000,"PROFIT",N199&lt;10000,"LOSS")</f>
        <v>GOOD SALES</v>
      </c>
      <c r="V199" s="2">
        <f t="shared" si="3"/>
        <v>2</v>
      </c>
    </row>
    <row r="200" spans="1:22" x14ac:dyDescent="0.25">
      <c r="A200" s="2">
        <v>2199</v>
      </c>
      <c r="B200" s="2" t="s">
        <v>107</v>
      </c>
      <c r="C200" s="2" t="s">
        <v>68</v>
      </c>
      <c r="D200" s="2" t="s">
        <v>32</v>
      </c>
      <c r="E200" s="2" t="s">
        <v>79</v>
      </c>
      <c r="F200" s="2" t="s">
        <v>48</v>
      </c>
      <c r="G200" s="2" t="s">
        <v>77</v>
      </c>
      <c r="H200" s="2" t="s">
        <v>26</v>
      </c>
      <c r="I200" s="2">
        <v>1</v>
      </c>
      <c r="J200" s="2">
        <v>32503</v>
      </c>
      <c r="K200" s="2">
        <v>6482.2</v>
      </c>
      <c r="L200" s="2">
        <v>3250.3</v>
      </c>
      <c r="M200" s="2">
        <v>267</v>
      </c>
      <c r="N200" s="2">
        <v>29538.1</v>
      </c>
      <c r="O200" s="2" t="s">
        <v>62</v>
      </c>
      <c r="P200" s="2">
        <v>7072</v>
      </c>
      <c r="Q200" s="2" t="s">
        <v>63</v>
      </c>
      <c r="R200" s="2" t="s">
        <v>29</v>
      </c>
      <c r="S200" s="2">
        <v>8</v>
      </c>
      <c r="T200" s="2">
        <v>1</v>
      </c>
      <c r="U200" s="2" t="str" cm="1">
        <f t="array" ref="U200">_xlfn.IFS(N200&gt;200000,"PEAK SALES",N200&gt;100000,"GOOD SALES",N200&gt;50000,"AVERAGE SALES",N200&lt;50000,"PROFIT",N200&lt;10000,"LOSS")</f>
        <v>PROFIT</v>
      </c>
      <c r="V200" s="2">
        <f t="shared" si="3"/>
        <v>1</v>
      </c>
    </row>
    <row r="201" spans="1:22" x14ac:dyDescent="0.25">
      <c r="A201" s="2">
        <v>2200</v>
      </c>
      <c r="B201" s="2" t="s">
        <v>165</v>
      </c>
      <c r="C201" s="2" t="s">
        <v>65</v>
      </c>
      <c r="D201" s="2" t="s">
        <v>73</v>
      </c>
      <c r="E201" s="2" t="s">
        <v>56</v>
      </c>
      <c r="F201" s="2" t="s">
        <v>48</v>
      </c>
      <c r="G201" s="2" t="s">
        <v>66</v>
      </c>
      <c r="H201" s="2" t="s">
        <v>36</v>
      </c>
      <c r="I201" s="2">
        <v>2</v>
      </c>
      <c r="J201" s="2">
        <v>44580</v>
      </c>
      <c r="K201" s="2">
        <v>9513.9</v>
      </c>
      <c r="L201" s="2">
        <v>8916</v>
      </c>
      <c r="M201" s="2">
        <v>127</v>
      </c>
      <c r="N201" s="2">
        <v>88689.1</v>
      </c>
      <c r="O201" s="2" t="s">
        <v>43</v>
      </c>
      <c r="P201" s="2">
        <v>24477</v>
      </c>
      <c r="Q201" s="2" t="s">
        <v>28</v>
      </c>
      <c r="R201" s="2" t="s">
        <v>37</v>
      </c>
      <c r="S201" s="2">
        <v>9</v>
      </c>
      <c r="T201" s="2">
        <v>3</v>
      </c>
      <c r="U201" s="2" t="str" cm="1">
        <f t="array" ref="U201">_xlfn.IFS(N201&gt;200000,"PEAK SALES",N201&gt;100000,"GOOD SALES",N201&gt;50000,"AVERAGE SALES",N201&lt;50000,"PROFIT",N201&lt;10000,"LOSS")</f>
        <v>AVERAGE SALES</v>
      </c>
      <c r="V201" s="2">
        <f t="shared" si="3"/>
        <v>2</v>
      </c>
    </row>
    <row r="202" spans="1:22" x14ac:dyDescent="0.25">
      <c r="A202" s="2">
        <v>2201</v>
      </c>
      <c r="B202" s="2" t="s">
        <v>150</v>
      </c>
      <c r="C202" s="2" t="s">
        <v>46</v>
      </c>
      <c r="D202" s="2" t="s">
        <v>73</v>
      </c>
      <c r="E202" s="2" t="s">
        <v>33</v>
      </c>
      <c r="F202" s="2" t="s">
        <v>34</v>
      </c>
      <c r="G202" s="2" t="s">
        <v>80</v>
      </c>
      <c r="H202" s="2" t="s">
        <v>36</v>
      </c>
      <c r="I202" s="2">
        <v>4</v>
      </c>
      <c r="J202" s="2">
        <v>8990</v>
      </c>
      <c r="K202" s="2">
        <v>3699.23</v>
      </c>
      <c r="L202" s="2">
        <v>3596</v>
      </c>
      <c r="M202" s="2">
        <v>271</v>
      </c>
      <c r="N202" s="2">
        <v>36127.769999999997</v>
      </c>
      <c r="O202" s="2" t="s">
        <v>43</v>
      </c>
      <c r="P202" s="2">
        <v>6916</v>
      </c>
      <c r="Q202" s="2" t="s">
        <v>28</v>
      </c>
      <c r="R202" s="2" t="s">
        <v>37</v>
      </c>
      <c r="S202" s="2">
        <v>1</v>
      </c>
      <c r="T202" s="2">
        <v>5</v>
      </c>
      <c r="U202" s="2" t="str" cm="1">
        <f t="array" ref="U202">_xlfn.IFS(N202&gt;200000,"PEAK SALES",N202&gt;100000,"GOOD SALES",N202&gt;50000,"AVERAGE SALES",N202&lt;50000,"PROFIT",N202&lt;10000,"LOSS")</f>
        <v>PROFIT</v>
      </c>
      <c r="V202" s="2">
        <f t="shared" si="3"/>
        <v>3</v>
      </c>
    </row>
    <row r="203" spans="1:22" x14ac:dyDescent="0.25">
      <c r="A203" s="2">
        <v>2202</v>
      </c>
      <c r="B203" s="2" t="s">
        <v>122</v>
      </c>
      <c r="C203" s="2" t="s">
        <v>39</v>
      </c>
      <c r="D203" s="2" t="s">
        <v>73</v>
      </c>
      <c r="E203" s="2" t="s">
        <v>56</v>
      </c>
      <c r="F203" s="2" t="s">
        <v>24</v>
      </c>
      <c r="G203" s="2" t="s">
        <v>69</v>
      </c>
      <c r="H203" s="2" t="s">
        <v>61</v>
      </c>
      <c r="I203" s="2">
        <v>2</v>
      </c>
      <c r="J203" s="2">
        <v>35268</v>
      </c>
      <c r="K203" s="2">
        <v>7776.18</v>
      </c>
      <c r="L203" s="2">
        <v>7053.6</v>
      </c>
      <c r="M203" s="2">
        <v>206</v>
      </c>
      <c r="N203" s="2">
        <v>70019.42</v>
      </c>
      <c r="O203" s="2" t="s">
        <v>62</v>
      </c>
      <c r="P203" s="2">
        <v>9074</v>
      </c>
      <c r="Q203" s="2" t="s">
        <v>52</v>
      </c>
      <c r="R203" s="2" t="s">
        <v>44</v>
      </c>
      <c r="S203" s="2">
        <v>4</v>
      </c>
      <c r="T203" s="2">
        <v>2</v>
      </c>
      <c r="U203" s="2" t="str" cm="1">
        <f t="array" ref="U203">_xlfn.IFS(N203&gt;200000,"PEAK SALES",N203&gt;100000,"GOOD SALES",N203&gt;50000,"AVERAGE SALES",N203&lt;50000,"PROFIT",N203&lt;10000,"LOSS")</f>
        <v>AVERAGE SALES</v>
      </c>
      <c r="V203" s="2">
        <f t="shared" si="3"/>
        <v>4</v>
      </c>
    </row>
    <row r="204" spans="1:22" x14ac:dyDescent="0.25">
      <c r="A204" s="2">
        <v>2203</v>
      </c>
      <c r="B204" s="2" t="s">
        <v>101</v>
      </c>
      <c r="C204" s="2" t="s">
        <v>21</v>
      </c>
      <c r="D204" s="2" t="s">
        <v>73</v>
      </c>
      <c r="E204" s="2" t="s">
        <v>23</v>
      </c>
      <c r="F204" s="2" t="s">
        <v>24</v>
      </c>
      <c r="G204" s="2" t="s">
        <v>69</v>
      </c>
      <c r="H204" s="2" t="s">
        <v>26</v>
      </c>
      <c r="I204" s="2">
        <v>1</v>
      </c>
      <c r="J204" s="2">
        <v>5850</v>
      </c>
      <c r="K204" s="2">
        <v>865.49</v>
      </c>
      <c r="L204" s="2">
        <v>585</v>
      </c>
      <c r="M204" s="2">
        <v>365</v>
      </c>
      <c r="N204" s="2">
        <v>5934.51</v>
      </c>
      <c r="O204" s="2" t="s">
        <v>43</v>
      </c>
      <c r="P204" s="2">
        <v>900</v>
      </c>
      <c r="Q204" s="2" t="s">
        <v>52</v>
      </c>
      <c r="R204" s="2" t="s">
        <v>37</v>
      </c>
      <c r="S204" s="2">
        <v>9</v>
      </c>
      <c r="T204" s="2">
        <v>1</v>
      </c>
      <c r="U204" s="2" t="str" cm="1">
        <f t="array" ref="U204">_xlfn.IFS(N204&gt;200000,"PEAK SALES",N204&gt;100000,"GOOD SALES",N204&gt;50000,"AVERAGE SALES",N204&lt;50000,"PROFIT",N204&lt;10000,"LOSS")</f>
        <v>PROFIT</v>
      </c>
      <c r="V204" s="2">
        <f t="shared" si="3"/>
        <v>2</v>
      </c>
    </row>
    <row r="205" spans="1:22" x14ac:dyDescent="0.25">
      <c r="A205" s="2">
        <v>2204</v>
      </c>
      <c r="B205" s="2" t="s">
        <v>100</v>
      </c>
      <c r="C205" s="2" t="s">
        <v>21</v>
      </c>
      <c r="D205" s="2" t="s">
        <v>73</v>
      </c>
      <c r="E205" s="2" t="s">
        <v>56</v>
      </c>
      <c r="F205" s="2" t="s">
        <v>24</v>
      </c>
      <c r="G205" s="2" t="s">
        <v>94</v>
      </c>
      <c r="H205" s="2" t="s">
        <v>36</v>
      </c>
      <c r="I205" s="2">
        <v>1</v>
      </c>
      <c r="J205" s="2">
        <v>40695</v>
      </c>
      <c r="K205" s="2">
        <v>6462.87</v>
      </c>
      <c r="L205" s="2">
        <v>4069.5</v>
      </c>
      <c r="M205" s="2">
        <v>190</v>
      </c>
      <c r="N205" s="2">
        <v>38491.629999999997</v>
      </c>
      <c r="O205" s="2" t="s">
        <v>43</v>
      </c>
      <c r="P205" s="2">
        <v>10336</v>
      </c>
      <c r="Q205" s="2" t="s">
        <v>63</v>
      </c>
      <c r="R205" s="2" t="s">
        <v>44</v>
      </c>
      <c r="S205" s="2">
        <v>6</v>
      </c>
      <c r="T205" s="2">
        <v>1</v>
      </c>
      <c r="U205" s="2" t="str" cm="1">
        <f t="array" ref="U205">_xlfn.IFS(N205&gt;200000,"PEAK SALES",N205&gt;100000,"GOOD SALES",N205&gt;50000,"AVERAGE SALES",N205&lt;50000,"PROFIT",N205&lt;10000,"LOSS")</f>
        <v>PROFIT</v>
      </c>
      <c r="V205" s="2">
        <f t="shared" si="3"/>
        <v>2</v>
      </c>
    </row>
    <row r="206" spans="1:22" x14ac:dyDescent="0.25">
      <c r="A206" s="2">
        <v>2205</v>
      </c>
      <c r="B206" s="2" t="s">
        <v>138</v>
      </c>
      <c r="C206" s="2" t="s">
        <v>39</v>
      </c>
      <c r="D206" s="2" t="s">
        <v>32</v>
      </c>
      <c r="E206" s="2" t="s">
        <v>79</v>
      </c>
      <c r="F206" s="2" t="s">
        <v>48</v>
      </c>
      <c r="G206" s="2" t="s">
        <v>49</v>
      </c>
      <c r="H206" s="2" t="s">
        <v>42</v>
      </c>
      <c r="I206" s="2">
        <v>3</v>
      </c>
      <c r="J206" s="2">
        <v>51403</v>
      </c>
      <c r="K206" s="2">
        <v>18225.7</v>
      </c>
      <c r="L206" s="2">
        <v>15420.9</v>
      </c>
      <c r="M206" s="2">
        <v>391</v>
      </c>
      <c r="N206" s="2">
        <v>151795.20000000001</v>
      </c>
      <c r="O206" s="2" t="s">
        <v>62</v>
      </c>
      <c r="P206" s="2">
        <v>21133</v>
      </c>
      <c r="Q206" s="2" t="s">
        <v>52</v>
      </c>
      <c r="R206" s="2" t="s">
        <v>37</v>
      </c>
      <c r="S206" s="2">
        <v>9</v>
      </c>
      <c r="T206" s="2">
        <v>3</v>
      </c>
      <c r="U206" s="2" t="str" cm="1">
        <f t="array" ref="U206">_xlfn.IFS(N206&gt;200000,"PEAK SALES",N206&gt;100000,"GOOD SALES",N206&gt;50000,"AVERAGE SALES",N206&lt;50000,"PROFIT",N206&lt;10000,"LOSS")</f>
        <v>GOOD SALES</v>
      </c>
      <c r="V206" s="2">
        <f t="shared" si="3"/>
        <v>2</v>
      </c>
    </row>
    <row r="207" spans="1:22" x14ac:dyDescent="0.25">
      <c r="A207" s="2">
        <v>2206</v>
      </c>
      <c r="B207" s="2" t="s">
        <v>155</v>
      </c>
      <c r="C207" s="2" t="s">
        <v>21</v>
      </c>
      <c r="D207" s="2" t="s">
        <v>73</v>
      </c>
      <c r="E207" s="2" t="s">
        <v>79</v>
      </c>
      <c r="F207" s="2" t="s">
        <v>34</v>
      </c>
      <c r="G207" s="2" t="s">
        <v>60</v>
      </c>
      <c r="H207" s="2" t="s">
        <v>61</v>
      </c>
      <c r="I207" s="2">
        <v>1</v>
      </c>
      <c r="J207" s="2">
        <v>16545</v>
      </c>
      <c r="K207" s="2">
        <v>1487.57</v>
      </c>
      <c r="L207" s="2">
        <v>1654.5</v>
      </c>
      <c r="M207" s="2">
        <v>434</v>
      </c>
      <c r="N207" s="2">
        <v>17145.93</v>
      </c>
      <c r="O207" s="2" t="s">
        <v>62</v>
      </c>
      <c r="P207" s="2">
        <v>2038</v>
      </c>
      <c r="Q207" s="2" t="s">
        <v>52</v>
      </c>
      <c r="R207" s="2" t="s">
        <v>37</v>
      </c>
      <c r="S207" s="2">
        <v>6</v>
      </c>
      <c r="T207" s="2">
        <v>3</v>
      </c>
      <c r="U207" s="2" t="str" cm="1">
        <f t="array" ref="U207">_xlfn.IFS(N207&gt;200000,"PEAK SALES",N207&gt;100000,"GOOD SALES",N207&gt;50000,"AVERAGE SALES",N207&lt;50000,"PROFIT",N207&lt;10000,"LOSS")</f>
        <v>PROFIT</v>
      </c>
      <c r="V207" s="2">
        <f t="shared" si="3"/>
        <v>1</v>
      </c>
    </row>
    <row r="208" spans="1:22" x14ac:dyDescent="0.25">
      <c r="A208" s="2">
        <v>2207</v>
      </c>
      <c r="B208" s="2" t="s">
        <v>115</v>
      </c>
      <c r="C208" s="2" t="s">
        <v>65</v>
      </c>
      <c r="D208" s="2" t="s">
        <v>32</v>
      </c>
      <c r="E208" s="2" t="s">
        <v>40</v>
      </c>
      <c r="F208" s="2" t="s">
        <v>34</v>
      </c>
      <c r="G208" s="2" t="s">
        <v>41</v>
      </c>
      <c r="H208" s="2" t="s">
        <v>26</v>
      </c>
      <c r="I208" s="2">
        <v>1</v>
      </c>
      <c r="J208" s="2">
        <v>54557</v>
      </c>
      <c r="K208" s="2">
        <v>9399.4</v>
      </c>
      <c r="L208" s="2">
        <v>5455.7</v>
      </c>
      <c r="M208" s="2">
        <v>196</v>
      </c>
      <c r="N208" s="2">
        <v>50809.3</v>
      </c>
      <c r="O208" s="2" t="s">
        <v>50</v>
      </c>
      <c r="P208" s="2">
        <v>11448</v>
      </c>
      <c r="Q208" s="2" t="s">
        <v>52</v>
      </c>
      <c r="R208" s="2" t="s">
        <v>44</v>
      </c>
      <c r="S208" s="2">
        <v>3</v>
      </c>
      <c r="T208" s="2">
        <v>4</v>
      </c>
      <c r="U208" s="2" t="str" cm="1">
        <f t="array" ref="U208">_xlfn.IFS(N208&gt;200000,"PEAK SALES",N208&gt;100000,"GOOD SALES",N208&gt;50000,"AVERAGE SALES",N208&lt;50000,"PROFIT",N208&lt;10000,"LOSS")</f>
        <v>AVERAGE SALES</v>
      </c>
      <c r="V208" s="2">
        <f t="shared" si="3"/>
        <v>1</v>
      </c>
    </row>
    <row r="209" spans="1:22" x14ac:dyDescent="0.25">
      <c r="A209" s="2">
        <v>2208</v>
      </c>
      <c r="B209" s="2" t="s">
        <v>159</v>
      </c>
      <c r="C209" s="2" t="s">
        <v>87</v>
      </c>
      <c r="D209" s="2" t="s">
        <v>22</v>
      </c>
      <c r="E209" s="2" t="s">
        <v>33</v>
      </c>
      <c r="F209" s="2" t="s">
        <v>24</v>
      </c>
      <c r="G209" s="2" t="s">
        <v>94</v>
      </c>
      <c r="H209" s="2" t="s">
        <v>61</v>
      </c>
      <c r="I209" s="2">
        <v>4</v>
      </c>
      <c r="J209" s="2">
        <v>23282</v>
      </c>
      <c r="K209" s="2">
        <v>9428.92</v>
      </c>
      <c r="L209" s="2">
        <v>9312.7999999999993</v>
      </c>
      <c r="M209" s="2">
        <v>64</v>
      </c>
      <c r="N209" s="2">
        <v>93075.88</v>
      </c>
      <c r="O209" s="2" t="s">
        <v>62</v>
      </c>
      <c r="P209" s="2">
        <v>19035</v>
      </c>
      <c r="Q209" s="2" t="s">
        <v>28</v>
      </c>
      <c r="R209" s="2" t="s">
        <v>29</v>
      </c>
      <c r="S209" s="2">
        <v>9</v>
      </c>
      <c r="T209" s="2">
        <v>2</v>
      </c>
      <c r="U209" s="2" t="str" cm="1">
        <f t="array" ref="U209">_xlfn.IFS(N209&gt;200000,"PEAK SALES",N209&gt;100000,"GOOD SALES",N209&gt;50000,"AVERAGE SALES",N209&lt;50000,"PROFIT",N209&lt;10000,"LOSS")</f>
        <v>AVERAGE SALES</v>
      </c>
      <c r="V209" s="2">
        <f t="shared" si="3"/>
        <v>3</v>
      </c>
    </row>
    <row r="210" spans="1:22" x14ac:dyDescent="0.25">
      <c r="A210" s="2">
        <v>2209</v>
      </c>
      <c r="B210" s="2" t="s">
        <v>112</v>
      </c>
      <c r="C210" s="2" t="s">
        <v>39</v>
      </c>
      <c r="D210" s="2" t="s">
        <v>73</v>
      </c>
      <c r="E210" s="2" t="s">
        <v>23</v>
      </c>
      <c r="F210" s="2" t="s">
        <v>34</v>
      </c>
      <c r="G210" s="2" t="s">
        <v>35</v>
      </c>
      <c r="H210" s="2" t="s">
        <v>26</v>
      </c>
      <c r="I210" s="2">
        <v>3</v>
      </c>
      <c r="J210" s="2">
        <v>777</v>
      </c>
      <c r="K210" s="2">
        <v>222.86</v>
      </c>
      <c r="L210" s="2">
        <v>233.1</v>
      </c>
      <c r="M210" s="2">
        <v>140</v>
      </c>
      <c r="N210" s="2">
        <v>2481.2399999999998</v>
      </c>
      <c r="O210" s="2" t="s">
        <v>50</v>
      </c>
      <c r="P210" s="2">
        <v>425</v>
      </c>
      <c r="Q210" s="2" t="s">
        <v>63</v>
      </c>
      <c r="R210" s="2" t="s">
        <v>29</v>
      </c>
      <c r="S210" s="2">
        <v>10</v>
      </c>
      <c r="T210" s="2">
        <v>5</v>
      </c>
      <c r="U210" s="2" t="str" cm="1">
        <f t="array" ref="U210">_xlfn.IFS(N210&gt;200000,"PEAK SALES",N210&gt;100000,"GOOD SALES",N210&gt;50000,"AVERAGE SALES",N210&lt;50000,"PROFIT",N210&lt;10000,"LOSS")</f>
        <v>PROFIT</v>
      </c>
      <c r="V210" s="2">
        <f t="shared" si="3"/>
        <v>1</v>
      </c>
    </row>
    <row r="211" spans="1:22" x14ac:dyDescent="0.25">
      <c r="A211" s="2">
        <v>2210</v>
      </c>
      <c r="B211" s="2" t="s">
        <v>86</v>
      </c>
      <c r="C211" s="2" t="s">
        <v>46</v>
      </c>
      <c r="D211" s="2" t="s">
        <v>73</v>
      </c>
      <c r="E211" s="2" t="s">
        <v>79</v>
      </c>
      <c r="F211" s="2" t="s">
        <v>34</v>
      </c>
      <c r="G211" s="2" t="s">
        <v>80</v>
      </c>
      <c r="H211" s="2" t="s">
        <v>61</v>
      </c>
      <c r="I211" s="2">
        <v>5</v>
      </c>
      <c r="J211" s="2">
        <v>1439</v>
      </c>
      <c r="K211" s="2">
        <v>1265.58</v>
      </c>
      <c r="L211" s="2">
        <v>719.5</v>
      </c>
      <c r="M211" s="2">
        <v>130</v>
      </c>
      <c r="N211" s="2">
        <v>6778.92</v>
      </c>
      <c r="O211" s="2" t="s">
        <v>50</v>
      </c>
      <c r="P211" s="2">
        <v>902</v>
      </c>
      <c r="Q211" s="2" t="s">
        <v>63</v>
      </c>
      <c r="R211" s="2" t="s">
        <v>44</v>
      </c>
      <c r="S211" s="2">
        <v>5</v>
      </c>
      <c r="T211" s="2">
        <v>3</v>
      </c>
      <c r="U211" s="2" t="str" cm="1">
        <f t="array" ref="U211">_xlfn.IFS(N211&gt;200000,"PEAK SALES",N211&gt;100000,"GOOD SALES",N211&gt;50000,"AVERAGE SALES",N211&lt;50000,"PROFIT",N211&lt;10000,"LOSS")</f>
        <v>PROFIT</v>
      </c>
      <c r="V211" s="2">
        <f t="shared" si="3"/>
        <v>3</v>
      </c>
    </row>
    <row r="212" spans="1:22" x14ac:dyDescent="0.25">
      <c r="A212" s="2">
        <v>2211</v>
      </c>
      <c r="B212" s="2" t="s">
        <v>166</v>
      </c>
      <c r="C212" s="2" t="s">
        <v>75</v>
      </c>
      <c r="D212" s="2" t="s">
        <v>22</v>
      </c>
      <c r="E212" s="2" t="s">
        <v>103</v>
      </c>
      <c r="F212" s="2" t="s">
        <v>48</v>
      </c>
      <c r="G212" s="2" t="s">
        <v>77</v>
      </c>
      <c r="H212" s="2" t="s">
        <v>36</v>
      </c>
      <c r="I212" s="2">
        <v>4</v>
      </c>
      <c r="J212" s="2">
        <v>14363</v>
      </c>
      <c r="K212" s="2">
        <v>3764.25</v>
      </c>
      <c r="L212" s="2">
        <v>5745.2</v>
      </c>
      <c r="M212" s="2">
        <v>300</v>
      </c>
      <c r="N212" s="2">
        <v>59732.95</v>
      </c>
      <c r="O212" s="2" t="s">
        <v>27</v>
      </c>
      <c r="P212" s="2">
        <v>16151</v>
      </c>
      <c r="Q212" s="2" t="s">
        <v>28</v>
      </c>
      <c r="R212" s="2" t="s">
        <v>37</v>
      </c>
      <c r="S212" s="2">
        <v>1</v>
      </c>
      <c r="T212" s="2">
        <v>2</v>
      </c>
      <c r="U212" s="2" t="str" cm="1">
        <f t="array" ref="U212">_xlfn.IFS(N212&gt;200000,"PEAK SALES",N212&gt;100000,"GOOD SALES",N212&gt;50000,"AVERAGE SALES",N212&lt;50000,"PROFIT",N212&lt;10000,"LOSS")</f>
        <v>AVERAGE SALES</v>
      </c>
      <c r="V212" s="2">
        <f t="shared" si="3"/>
        <v>1</v>
      </c>
    </row>
    <row r="213" spans="1:22" x14ac:dyDescent="0.25">
      <c r="A213" s="2">
        <v>2212</v>
      </c>
      <c r="B213" s="2" t="s">
        <v>119</v>
      </c>
      <c r="C213" s="2" t="s">
        <v>87</v>
      </c>
      <c r="D213" s="2" t="s">
        <v>73</v>
      </c>
      <c r="E213" s="2" t="s">
        <v>47</v>
      </c>
      <c r="F213" s="2" t="s">
        <v>24</v>
      </c>
      <c r="G213" s="2" t="s">
        <v>25</v>
      </c>
      <c r="H213" s="2" t="s">
        <v>61</v>
      </c>
      <c r="I213" s="2">
        <v>5</v>
      </c>
      <c r="J213" s="2">
        <v>41002</v>
      </c>
      <c r="K213" s="2">
        <v>32187.360000000001</v>
      </c>
      <c r="L213" s="2">
        <v>20501</v>
      </c>
      <c r="M213" s="2">
        <v>404</v>
      </c>
      <c r="N213" s="2">
        <v>193727.64</v>
      </c>
      <c r="O213" s="2" t="s">
        <v>27</v>
      </c>
      <c r="P213" s="2">
        <v>32831</v>
      </c>
      <c r="Q213" s="2" t="s">
        <v>52</v>
      </c>
      <c r="R213" s="2" t="s">
        <v>37</v>
      </c>
      <c r="S213" s="2">
        <v>4</v>
      </c>
      <c r="T213" s="2">
        <v>5</v>
      </c>
      <c r="U213" s="2" t="str" cm="1">
        <f t="array" ref="U213">_xlfn.IFS(N213&gt;200000,"PEAK SALES",N213&gt;100000,"GOOD SALES",N213&gt;50000,"AVERAGE SALES",N213&lt;50000,"PROFIT",N213&lt;10000,"LOSS")</f>
        <v>GOOD SALES</v>
      </c>
      <c r="V213" s="2">
        <f t="shared" si="3"/>
        <v>2</v>
      </c>
    </row>
    <row r="214" spans="1:22" x14ac:dyDescent="0.25">
      <c r="A214" s="2">
        <v>2213</v>
      </c>
      <c r="B214" s="2" t="s">
        <v>167</v>
      </c>
      <c r="C214" s="2" t="s">
        <v>75</v>
      </c>
      <c r="D214" s="2" t="s">
        <v>59</v>
      </c>
      <c r="E214" s="2" t="s">
        <v>47</v>
      </c>
      <c r="F214" s="2" t="s">
        <v>34</v>
      </c>
      <c r="G214" s="2" t="s">
        <v>41</v>
      </c>
      <c r="H214" s="2" t="s">
        <v>42</v>
      </c>
      <c r="I214" s="2">
        <v>1</v>
      </c>
      <c r="J214" s="2">
        <v>39622</v>
      </c>
      <c r="K214" s="2">
        <v>7673.53</v>
      </c>
      <c r="L214" s="2">
        <v>3962.2</v>
      </c>
      <c r="M214" s="2">
        <v>212</v>
      </c>
      <c r="N214" s="2">
        <v>36122.67</v>
      </c>
      <c r="O214" s="2" t="s">
        <v>27</v>
      </c>
      <c r="P214" s="2">
        <v>9526</v>
      </c>
      <c r="Q214" s="2" t="s">
        <v>52</v>
      </c>
      <c r="R214" s="2" t="s">
        <v>37</v>
      </c>
      <c r="S214" s="2">
        <v>7</v>
      </c>
      <c r="T214" s="2">
        <v>2</v>
      </c>
      <c r="U214" s="2" t="str" cm="1">
        <f t="array" ref="U214">_xlfn.IFS(N214&gt;200000,"PEAK SALES",N214&gt;100000,"GOOD SALES",N214&gt;50000,"AVERAGE SALES",N214&lt;50000,"PROFIT",N214&lt;10000,"LOSS")</f>
        <v>PROFIT</v>
      </c>
      <c r="V214" s="2">
        <f t="shared" si="3"/>
        <v>3</v>
      </c>
    </row>
    <row r="215" spans="1:22" x14ac:dyDescent="0.25">
      <c r="A215" s="2">
        <v>2214</v>
      </c>
      <c r="B215" s="2" t="s">
        <v>100</v>
      </c>
      <c r="C215" s="2" t="s">
        <v>65</v>
      </c>
      <c r="D215" s="2" t="s">
        <v>73</v>
      </c>
      <c r="E215" s="2" t="s">
        <v>103</v>
      </c>
      <c r="F215" s="2" t="s">
        <v>34</v>
      </c>
      <c r="G215" s="2" t="s">
        <v>60</v>
      </c>
      <c r="H215" s="2" t="s">
        <v>42</v>
      </c>
      <c r="I215" s="2">
        <v>4</v>
      </c>
      <c r="J215" s="2">
        <v>9291</v>
      </c>
      <c r="K215" s="2">
        <v>5226.04</v>
      </c>
      <c r="L215" s="2">
        <v>3716.4</v>
      </c>
      <c r="M215" s="2">
        <v>440</v>
      </c>
      <c r="N215" s="2">
        <v>36094.36</v>
      </c>
      <c r="O215" s="2" t="s">
        <v>62</v>
      </c>
      <c r="P215" s="2">
        <v>8440</v>
      </c>
      <c r="Q215" s="2" t="s">
        <v>52</v>
      </c>
      <c r="R215" s="2" t="s">
        <v>37</v>
      </c>
      <c r="S215" s="2">
        <v>1</v>
      </c>
      <c r="T215" s="2">
        <v>4</v>
      </c>
      <c r="U215" s="2" t="str" cm="1">
        <f t="array" ref="U215">_xlfn.IFS(N215&gt;200000,"PEAK SALES",N215&gt;100000,"GOOD SALES",N215&gt;50000,"AVERAGE SALES",N215&lt;50000,"PROFIT",N215&lt;10000,"LOSS")</f>
        <v>PROFIT</v>
      </c>
      <c r="V215" s="2">
        <f t="shared" si="3"/>
        <v>2</v>
      </c>
    </row>
    <row r="216" spans="1:22" x14ac:dyDescent="0.25">
      <c r="A216" s="2">
        <v>2215</v>
      </c>
      <c r="B216" s="2" t="s">
        <v>168</v>
      </c>
      <c r="C216" s="2" t="s">
        <v>68</v>
      </c>
      <c r="D216" s="2" t="s">
        <v>73</v>
      </c>
      <c r="E216" s="2" t="s">
        <v>47</v>
      </c>
      <c r="F216" s="2" t="s">
        <v>48</v>
      </c>
      <c r="G216" s="2" t="s">
        <v>49</v>
      </c>
      <c r="H216" s="2" t="s">
        <v>36</v>
      </c>
      <c r="I216" s="2">
        <v>2</v>
      </c>
      <c r="J216" s="2">
        <v>25669</v>
      </c>
      <c r="K216" s="2">
        <v>9817.1299999999992</v>
      </c>
      <c r="L216" s="2">
        <v>5133.8</v>
      </c>
      <c r="M216" s="2">
        <v>202</v>
      </c>
      <c r="N216" s="2">
        <v>46856.670000000013</v>
      </c>
      <c r="O216" s="2" t="s">
        <v>27</v>
      </c>
      <c r="P216" s="2">
        <v>9640</v>
      </c>
      <c r="Q216" s="2" t="s">
        <v>52</v>
      </c>
      <c r="R216" s="2" t="s">
        <v>29</v>
      </c>
      <c r="S216" s="2">
        <v>1</v>
      </c>
      <c r="T216" s="2">
        <v>1</v>
      </c>
      <c r="U216" s="2" t="str" cm="1">
        <f t="array" ref="U216">_xlfn.IFS(N216&gt;200000,"PEAK SALES",N216&gt;100000,"GOOD SALES",N216&gt;50000,"AVERAGE SALES",N216&lt;50000,"PROFIT",N216&lt;10000,"LOSS")</f>
        <v>PROFIT</v>
      </c>
      <c r="V216" s="2">
        <f t="shared" si="3"/>
        <v>3</v>
      </c>
    </row>
    <row r="217" spans="1:22" x14ac:dyDescent="0.25">
      <c r="A217" s="2">
        <v>2216</v>
      </c>
      <c r="B217" s="2" t="s">
        <v>169</v>
      </c>
      <c r="C217" s="2" t="s">
        <v>75</v>
      </c>
      <c r="D217" s="2" t="s">
        <v>73</v>
      </c>
      <c r="E217" s="2" t="s">
        <v>54</v>
      </c>
      <c r="F217" s="2" t="s">
        <v>24</v>
      </c>
      <c r="G217" s="2" t="s">
        <v>69</v>
      </c>
      <c r="H217" s="2" t="s">
        <v>36</v>
      </c>
      <c r="I217" s="2">
        <v>3</v>
      </c>
      <c r="J217" s="2">
        <v>28281</v>
      </c>
      <c r="K217" s="2">
        <v>8629.31</v>
      </c>
      <c r="L217" s="2">
        <v>8484.2999999999993</v>
      </c>
      <c r="M217" s="2">
        <v>383</v>
      </c>
      <c r="N217" s="2">
        <v>85080.99</v>
      </c>
      <c r="O217" s="2" t="s">
        <v>62</v>
      </c>
      <c r="P217" s="2">
        <v>16142</v>
      </c>
      <c r="Q217" s="2" t="s">
        <v>52</v>
      </c>
      <c r="R217" s="2" t="s">
        <v>44</v>
      </c>
      <c r="S217" s="2">
        <v>3</v>
      </c>
      <c r="T217" s="2">
        <v>4</v>
      </c>
      <c r="U217" s="2" t="str" cm="1">
        <f t="array" ref="U217">_xlfn.IFS(N217&gt;200000,"PEAK SALES",N217&gt;100000,"GOOD SALES",N217&gt;50000,"AVERAGE SALES",N217&lt;50000,"PROFIT",N217&lt;10000,"LOSS")</f>
        <v>AVERAGE SALES</v>
      </c>
      <c r="V217" s="2">
        <f t="shared" si="3"/>
        <v>3</v>
      </c>
    </row>
    <row r="218" spans="1:22" x14ac:dyDescent="0.25">
      <c r="A218" s="2">
        <v>2217</v>
      </c>
      <c r="B218" s="2" t="s">
        <v>108</v>
      </c>
      <c r="C218" s="2" t="s">
        <v>65</v>
      </c>
      <c r="D218" s="2" t="s">
        <v>73</v>
      </c>
      <c r="E218" s="2" t="s">
        <v>40</v>
      </c>
      <c r="F218" s="2" t="s">
        <v>48</v>
      </c>
      <c r="G218" s="2" t="s">
        <v>77</v>
      </c>
      <c r="H218" s="2" t="s">
        <v>61</v>
      </c>
      <c r="I218" s="2">
        <v>2</v>
      </c>
      <c r="J218" s="2">
        <v>58232</v>
      </c>
      <c r="K218" s="2">
        <v>18970.95</v>
      </c>
      <c r="L218" s="2">
        <v>11646.4</v>
      </c>
      <c r="M218" s="2">
        <v>167</v>
      </c>
      <c r="N218" s="2">
        <v>109306.45</v>
      </c>
      <c r="O218" s="2" t="s">
        <v>27</v>
      </c>
      <c r="P218" s="2">
        <v>20153</v>
      </c>
      <c r="Q218" s="2" t="s">
        <v>63</v>
      </c>
      <c r="R218" s="2" t="s">
        <v>29</v>
      </c>
      <c r="S218" s="2">
        <v>10</v>
      </c>
      <c r="T218" s="2">
        <v>3</v>
      </c>
      <c r="U218" s="2" t="str" cm="1">
        <f t="array" ref="U218">_xlfn.IFS(N218&gt;200000,"PEAK SALES",N218&gt;100000,"GOOD SALES",N218&gt;50000,"AVERAGE SALES",N218&lt;50000,"PROFIT",N218&lt;10000,"LOSS")</f>
        <v>GOOD SALES</v>
      </c>
      <c r="V218" s="2">
        <f t="shared" si="3"/>
        <v>1</v>
      </c>
    </row>
    <row r="219" spans="1:22" x14ac:dyDescent="0.25">
      <c r="A219" s="2">
        <v>2218</v>
      </c>
      <c r="B219" s="2" t="s">
        <v>132</v>
      </c>
      <c r="C219" s="2" t="s">
        <v>65</v>
      </c>
      <c r="D219" s="2" t="s">
        <v>22</v>
      </c>
      <c r="E219" s="2" t="s">
        <v>79</v>
      </c>
      <c r="F219" s="2" t="s">
        <v>24</v>
      </c>
      <c r="G219" s="2" t="s">
        <v>94</v>
      </c>
      <c r="H219" s="2" t="s">
        <v>61</v>
      </c>
      <c r="I219" s="2">
        <v>2</v>
      </c>
      <c r="J219" s="2">
        <v>18125</v>
      </c>
      <c r="K219" s="2">
        <v>3898.63</v>
      </c>
      <c r="L219" s="2">
        <v>3625</v>
      </c>
      <c r="M219" s="2">
        <v>372</v>
      </c>
      <c r="N219" s="2">
        <v>36348.370000000003</v>
      </c>
      <c r="O219" s="2" t="s">
        <v>27</v>
      </c>
      <c r="P219" s="2">
        <v>6262</v>
      </c>
      <c r="Q219" s="2" t="s">
        <v>28</v>
      </c>
      <c r="R219" s="2" t="s">
        <v>37</v>
      </c>
      <c r="S219" s="2">
        <v>1</v>
      </c>
      <c r="T219" s="2">
        <v>5</v>
      </c>
      <c r="U219" s="2" t="str" cm="1">
        <f t="array" ref="U219">_xlfn.IFS(N219&gt;200000,"PEAK SALES",N219&gt;100000,"GOOD SALES",N219&gt;50000,"AVERAGE SALES",N219&lt;50000,"PROFIT",N219&lt;10000,"LOSS")</f>
        <v>PROFIT</v>
      </c>
      <c r="V219" s="2">
        <f t="shared" si="3"/>
        <v>1</v>
      </c>
    </row>
    <row r="220" spans="1:22" x14ac:dyDescent="0.25">
      <c r="A220" s="2">
        <v>2219</v>
      </c>
      <c r="B220" s="2" t="s">
        <v>111</v>
      </c>
      <c r="C220" s="2" t="s">
        <v>87</v>
      </c>
      <c r="D220" s="2" t="s">
        <v>59</v>
      </c>
      <c r="E220" s="2" t="s">
        <v>33</v>
      </c>
      <c r="F220" s="2" t="s">
        <v>24</v>
      </c>
      <c r="G220" s="2" t="s">
        <v>94</v>
      </c>
      <c r="H220" s="2" t="s">
        <v>36</v>
      </c>
      <c r="I220" s="2">
        <v>3</v>
      </c>
      <c r="J220" s="2">
        <v>3387</v>
      </c>
      <c r="K220" s="2">
        <v>1731.13</v>
      </c>
      <c r="L220" s="2">
        <v>1016.1</v>
      </c>
      <c r="M220" s="2">
        <v>325</v>
      </c>
      <c r="N220" s="2">
        <v>9770.9699999999993</v>
      </c>
      <c r="O220" s="2" t="s">
        <v>43</v>
      </c>
      <c r="P220" s="2">
        <v>1683</v>
      </c>
      <c r="Q220" s="2" t="s">
        <v>28</v>
      </c>
      <c r="R220" s="2" t="s">
        <v>44</v>
      </c>
      <c r="S220" s="2">
        <v>9</v>
      </c>
      <c r="T220" s="2">
        <v>2</v>
      </c>
      <c r="U220" s="2" t="str" cm="1">
        <f t="array" ref="U220">_xlfn.IFS(N220&gt;200000,"PEAK SALES",N220&gt;100000,"GOOD SALES",N220&gt;50000,"AVERAGE SALES",N220&lt;50000,"PROFIT",N220&lt;10000,"LOSS")</f>
        <v>PROFIT</v>
      </c>
      <c r="V220" s="2">
        <f t="shared" si="3"/>
        <v>4</v>
      </c>
    </row>
    <row r="221" spans="1:22" x14ac:dyDescent="0.25">
      <c r="A221" s="2">
        <v>2220</v>
      </c>
      <c r="B221" s="2" t="s">
        <v>169</v>
      </c>
      <c r="C221" s="2" t="s">
        <v>75</v>
      </c>
      <c r="D221" s="2" t="s">
        <v>59</v>
      </c>
      <c r="E221" s="2" t="s">
        <v>40</v>
      </c>
      <c r="F221" s="2" t="s">
        <v>34</v>
      </c>
      <c r="G221" s="2" t="s">
        <v>41</v>
      </c>
      <c r="H221" s="2" t="s">
        <v>26</v>
      </c>
      <c r="I221" s="2">
        <v>2</v>
      </c>
      <c r="J221" s="2">
        <v>40490</v>
      </c>
      <c r="K221" s="2">
        <v>10495.22</v>
      </c>
      <c r="L221" s="2">
        <v>8098</v>
      </c>
      <c r="M221" s="2">
        <v>224</v>
      </c>
      <c r="N221" s="2">
        <v>78806.78</v>
      </c>
      <c r="O221" s="2" t="s">
        <v>50</v>
      </c>
      <c r="P221" s="2">
        <v>9095</v>
      </c>
      <c r="Q221" s="2" t="s">
        <v>28</v>
      </c>
      <c r="R221" s="2" t="s">
        <v>29</v>
      </c>
      <c r="S221" s="2">
        <v>7</v>
      </c>
      <c r="T221" s="2">
        <v>5</v>
      </c>
      <c r="U221" s="2" t="str" cm="1">
        <f t="array" ref="U221">_xlfn.IFS(N221&gt;200000,"PEAK SALES",N221&gt;100000,"GOOD SALES",N221&gt;50000,"AVERAGE SALES",N221&lt;50000,"PROFIT",N221&lt;10000,"LOSS")</f>
        <v>AVERAGE SALES</v>
      </c>
      <c r="V221" s="2">
        <f t="shared" si="3"/>
        <v>3</v>
      </c>
    </row>
    <row r="222" spans="1:22" x14ac:dyDescent="0.25">
      <c r="A222" s="2">
        <v>2221</v>
      </c>
      <c r="B222" s="2" t="s">
        <v>115</v>
      </c>
      <c r="C222" s="2" t="s">
        <v>72</v>
      </c>
      <c r="D222" s="2" t="s">
        <v>59</v>
      </c>
      <c r="E222" s="2" t="s">
        <v>103</v>
      </c>
      <c r="F222" s="2" t="s">
        <v>48</v>
      </c>
      <c r="G222" s="2" t="s">
        <v>49</v>
      </c>
      <c r="H222" s="2" t="s">
        <v>61</v>
      </c>
      <c r="I222" s="2">
        <v>1</v>
      </c>
      <c r="J222" s="2">
        <v>37074</v>
      </c>
      <c r="K222" s="2">
        <v>3696.61</v>
      </c>
      <c r="L222" s="2">
        <v>3707.4</v>
      </c>
      <c r="M222" s="2">
        <v>383</v>
      </c>
      <c r="N222" s="2">
        <v>37467.79</v>
      </c>
      <c r="O222" s="2" t="s">
        <v>27</v>
      </c>
      <c r="P222" s="2">
        <v>8541</v>
      </c>
      <c r="Q222" s="2" t="s">
        <v>28</v>
      </c>
      <c r="R222" s="2" t="s">
        <v>44</v>
      </c>
      <c r="S222" s="2">
        <v>4</v>
      </c>
      <c r="T222" s="2">
        <v>4</v>
      </c>
      <c r="U222" s="2" t="str" cm="1">
        <f t="array" ref="U222">_xlfn.IFS(N222&gt;200000,"PEAK SALES",N222&gt;100000,"GOOD SALES",N222&gt;50000,"AVERAGE SALES",N222&lt;50000,"PROFIT",N222&lt;10000,"LOSS")</f>
        <v>PROFIT</v>
      </c>
      <c r="V222" s="2">
        <f t="shared" si="3"/>
        <v>1</v>
      </c>
    </row>
    <row r="223" spans="1:22" x14ac:dyDescent="0.25">
      <c r="A223" s="2">
        <v>2222</v>
      </c>
      <c r="B223" s="2" t="s">
        <v>120</v>
      </c>
      <c r="C223" s="2" t="s">
        <v>75</v>
      </c>
      <c r="D223" s="2" t="s">
        <v>22</v>
      </c>
      <c r="E223" s="2" t="s">
        <v>33</v>
      </c>
      <c r="F223" s="2" t="s">
        <v>24</v>
      </c>
      <c r="G223" s="2" t="s">
        <v>69</v>
      </c>
      <c r="H223" s="2" t="s">
        <v>61</v>
      </c>
      <c r="I223" s="2">
        <v>4</v>
      </c>
      <c r="J223" s="2">
        <v>23171</v>
      </c>
      <c r="K223" s="2">
        <v>17379.77</v>
      </c>
      <c r="L223" s="2">
        <v>9268.4</v>
      </c>
      <c r="M223" s="2">
        <v>191</v>
      </c>
      <c r="N223" s="2">
        <v>84763.62999999999</v>
      </c>
      <c r="O223" s="2" t="s">
        <v>62</v>
      </c>
      <c r="P223" s="2">
        <v>23325</v>
      </c>
      <c r="Q223" s="2" t="s">
        <v>52</v>
      </c>
      <c r="R223" s="2" t="s">
        <v>44</v>
      </c>
      <c r="S223" s="2">
        <v>4</v>
      </c>
      <c r="T223" s="2">
        <v>1</v>
      </c>
      <c r="U223" s="2" t="str" cm="1">
        <f t="array" ref="U223">_xlfn.IFS(N223&gt;200000,"PEAK SALES",N223&gt;100000,"GOOD SALES",N223&gt;50000,"AVERAGE SALES",N223&lt;50000,"PROFIT",N223&lt;10000,"LOSS")</f>
        <v>AVERAGE SALES</v>
      </c>
      <c r="V223" s="2">
        <f t="shared" si="3"/>
        <v>4</v>
      </c>
    </row>
    <row r="224" spans="1:22" x14ac:dyDescent="0.25">
      <c r="A224" s="2">
        <v>2223</v>
      </c>
      <c r="B224" s="2" t="s">
        <v>109</v>
      </c>
      <c r="C224" s="2" t="s">
        <v>87</v>
      </c>
      <c r="D224" s="2" t="s">
        <v>32</v>
      </c>
      <c r="E224" s="2" t="s">
        <v>23</v>
      </c>
      <c r="F224" s="2" t="s">
        <v>48</v>
      </c>
      <c r="G224" s="2" t="s">
        <v>49</v>
      </c>
      <c r="H224" s="2" t="s">
        <v>61</v>
      </c>
      <c r="I224" s="2">
        <v>2</v>
      </c>
      <c r="J224" s="2">
        <v>2811</v>
      </c>
      <c r="K224" s="2">
        <v>294.08999999999997</v>
      </c>
      <c r="L224" s="2">
        <v>562.20000000000005</v>
      </c>
      <c r="M224" s="2">
        <v>103</v>
      </c>
      <c r="N224" s="2">
        <v>5993.11</v>
      </c>
      <c r="O224" s="2" t="s">
        <v>62</v>
      </c>
      <c r="P224" s="2">
        <v>1703</v>
      </c>
      <c r="Q224" s="2" t="s">
        <v>63</v>
      </c>
      <c r="R224" s="2" t="s">
        <v>37</v>
      </c>
      <c r="S224" s="2">
        <v>5</v>
      </c>
      <c r="T224" s="2">
        <v>4</v>
      </c>
      <c r="U224" s="2" t="str" cm="1">
        <f t="array" ref="U224">_xlfn.IFS(N224&gt;200000,"PEAK SALES",N224&gt;100000,"GOOD SALES",N224&gt;50000,"AVERAGE SALES",N224&lt;50000,"PROFIT",N224&lt;10000,"LOSS")</f>
        <v>PROFIT</v>
      </c>
      <c r="V224" s="2">
        <f t="shared" si="3"/>
        <v>4</v>
      </c>
    </row>
    <row r="225" spans="1:22" x14ac:dyDescent="0.25">
      <c r="A225" s="2">
        <v>2224</v>
      </c>
      <c r="B225" s="2" t="s">
        <v>133</v>
      </c>
      <c r="C225" s="2" t="s">
        <v>75</v>
      </c>
      <c r="D225" s="2" t="s">
        <v>59</v>
      </c>
      <c r="E225" s="2" t="s">
        <v>54</v>
      </c>
      <c r="F225" s="2" t="s">
        <v>48</v>
      </c>
      <c r="G225" s="2" t="s">
        <v>77</v>
      </c>
      <c r="H225" s="2" t="s">
        <v>36</v>
      </c>
      <c r="I225" s="2">
        <v>4</v>
      </c>
      <c r="J225" s="2">
        <v>25120</v>
      </c>
      <c r="K225" s="2">
        <v>17937.62</v>
      </c>
      <c r="L225" s="2">
        <v>10048</v>
      </c>
      <c r="M225" s="2">
        <v>96</v>
      </c>
      <c r="N225" s="2">
        <v>92686.38</v>
      </c>
      <c r="O225" s="2" t="s">
        <v>50</v>
      </c>
      <c r="P225" s="2">
        <v>16394</v>
      </c>
      <c r="Q225" s="2" t="s">
        <v>52</v>
      </c>
      <c r="R225" s="2" t="s">
        <v>37</v>
      </c>
      <c r="S225" s="2">
        <v>1</v>
      </c>
      <c r="T225" s="2">
        <v>1</v>
      </c>
      <c r="U225" s="2" t="str" cm="1">
        <f t="array" ref="U225">_xlfn.IFS(N225&gt;200000,"PEAK SALES",N225&gt;100000,"GOOD SALES",N225&gt;50000,"AVERAGE SALES",N225&lt;50000,"PROFIT",N225&lt;10000,"LOSS")</f>
        <v>AVERAGE SALES</v>
      </c>
      <c r="V225" s="2">
        <f t="shared" si="3"/>
        <v>2</v>
      </c>
    </row>
    <row r="226" spans="1:22" x14ac:dyDescent="0.25">
      <c r="A226" s="2">
        <v>2225</v>
      </c>
      <c r="B226" s="2" t="s">
        <v>144</v>
      </c>
      <c r="C226" s="2" t="s">
        <v>31</v>
      </c>
      <c r="D226" s="2" t="s">
        <v>73</v>
      </c>
      <c r="E226" s="2" t="s">
        <v>56</v>
      </c>
      <c r="F226" s="2" t="s">
        <v>34</v>
      </c>
      <c r="G226" s="2" t="s">
        <v>41</v>
      </c>
      <c r="H226" s="2" t="s">
        <v>36</v>
      </c>
      <c r="I226" s="2">
        <v>3</v>
      </c>
      <c r="J226" s="2">
        <v>50969</v>
      </c>
      <c r="K226" s="2">
        <v>26347.69</v>
      </c>
      <c r="L226" s="2">
        <v>15290.7</v>
      </c>
      <c r="M226" s="2">
        <v>345</v>
      </c>
      <c r="N226" s="2">
        <v>142195.01</v>
      </c>
      <c r="O226" s="2" t="s">
        <v>27</v>
      </c>
      <c r="P226" s="2">
        <v>17427</v>
      </c>
      <c r="Q226" s="2" t="s">
        <v>28</v>
      </c>
      <c r="R226" s="2" t="s">
        <v>29</v>
      </c>
      <c r="S226" s="2">
        <v>9</v>
      </c>
      <c r="T226" s="2">
        <v>4</v>
      </c>
      <c r="U226" s="2" t="str" cm="1">
        <f t="array" ref="U226">_xlfn.IFS(N226&gt;200000,"PEAK SALES",N226&gt;100000,"GOOD SALES",N226&gt;50000,"AVERAGE SALES",N226&lt;50000,"PROFIT",N226&lt;10000,"LOSS")</f>
        <v>GOOD SALES</v>
      </c>
      <c r="V226" s="2">
        <f t="shared" si="3"/>
        <v>3</v>
      </c>
    </row>
    <row r="227" spans="1:22" x14ac:dyDescent="0.25">
      <c r="A227" s="2">
        <v>2226</v>
      </c>
      <c r="B227" s="2" t="s">
        <v>97</v>
      </c>
      <c r="C227" s="2" t="s">
        <v>31</v>
      </c>
      <c r="D227" s="2" t="s">
        <v>73</v>
      </c>
      <c r="E227" s="2" t="s">
        <v>47</v>
      </c>
      <c r="F227" s="2" t="s">
        <v>34</v>
      </c>
      <c r="G227" s="2" t="s">
        <v>35</v>
      </c>
      <c r="H227" s="2" t="s">
        <v>36</v>
      </c>
      <c r="I227" s="2">
        <v>4</v>
      </c>
      <c r="J227" s="2">
        <v>46154</v>
      </c>
      <c r="K227" s="2">
        <v>28321.25</v>
      </c>
      <c r="L227" s="2">
        <v>18461.599999999999</v>
      </c>
      <c r="M227" s="2">
        <v>294</v>
      </c>
      <c r="N227" s="2">
        <v>175050.35</v>
      </c>
      <c r="O227" s="2" t="s">
        <v>27</v>
      </c>
      <c r="P227" s="2">
        <v>45627</v>
      </c>
      <c r="Q227" s="2" t="s">
        <v>63</v>
      </c>
      <c r="R227" s="2" t="s">
        <v>37</v>
      </c>
      <c r="S227" s="2">
        <v>6</v>
      </c>
      <c r="T227" s="2">
        <v>1</v>
      </c>
      <c r="U227" s="2" t="str" cm="1">
        <f t="array" ref="U227">_xlfn.IFS(N227&gt;200000,"PEAK SALES",N227&gt;100000,"GOOD SALES",N227&gt;50000,"AVERAGE SALES",N227&lt;50000,"PROFIT",N227&lt;10000,"LOSS")</f>
        <v>GOOD SALES</v>
      </c>
      <c r="V227" s="2">
        <f t="shared" si="3"/>
        <v>4</v>
      </c>
    </row>
    <row r="228" spans="1:22" x14ac:dyDescent="0.25">
      <c r="A228" s="2">
        <v>2227</v>
      </c>
      <c r="B228" s="2" t="s">
        <v>135</v>
      </c>
      <c r="C228" s="2" t="s">
        <v>31</v>
      </c>
      <c r="D228" s="2" t="s">
        <v>22</v>
      </c>
      <c r="E228" s="2" t="s">
        <v>23</v>
      </c>
      <c r="F228" s="2" t="s">
        <v>48</v>
      </c>
      <c r="G228" s="2" t="s">
        <v>49</v>
      </c>
      <c r="H228" s="2" t="s">
        <v>26</v>
      </c>
      <c r="I228" s="2">
        <v>1</v>
      </c>
      <c r="J228" s="2">
        <v>50003</v>
      </c>
      <c r="K228" s="2">
        <v>6222.27</v>
      </c>
      <c r="L228" s="2">
        <v>5000.3</v>
      </c>
      <c r="M228" s="2">
        <v>172</v>
      </c>
      <c r="N228" s="2">
        <v>48953.03</v>
      </c>
      <c r="O228" s="2" t="s">
        <v>62</v>
      </c>
      <c r="P228" s="2">
        <v>9531</v>
      </c>
      <c r="Q228" s="2" t="s">
        <v>52</v>
      </c>
      <c r="R228" s="2" t="s">
        <v>44</v>
      </c>
      <c r="S228" s="2">
        <v>2</v>
      </c>
      <c r="T228" s="2">
        <v>5</v>
      </c>
      <c r="U228" s="2" t="str" cm="1">
        <f t="array" ref="U228">_xlfn.IFS(N228&gt;200000,"PEAK SALES",N228&gt;100000,"GOOD SALES",N228&gt;50000,"AVERAGE SALES",N228&lt;50000,"PROFIT",N228&lt;10000,"LOSS")</f>
        <v>PROFIT</v>
      </c>
      <c r="V228" s="2">
        <f t="shared" si="3"/>
        <v>3</v>
      </c>
    </row>
    <row r="229" spans="1:22" x14ac:dyDescent="0.25">
      <c r="A229" s="2">
        <v>2228</v>
      </c>
      <c r="B229" s="2" t="s">
        <v>143</v>
      </c>
      <c r="C229" s="2" t="s">
        <v>31</v>
      </c>
      <c r="D229" s="2" t="s">
        <v>22</v>
      </c>
      <c r="E229" s="2" t="s">
        <v>56</v>
      </c>
      <c r="F229" s="2" t="s">
        <v>48</v>
      </c>
      <c r="G229" s="2" t="s">
        <v>49</v>
      </c>
      <c r="H229" s="2" t="s">
        <v>36</v>
      </c>
      <c r="I229" s="2">
        <v>4</v>
      </c>
      <c r="J229" s="2">
        <v>37397</v>
      </c>
      <c r="K229" s="2">
        <v>22734.67</v>
      </c>
      <c r="L229" s="2">
        <v>14958.8</v>
      </c>
      <c r="M229" s="2">
        <v>406</v>
      </c>
      <c r="N229" s="2">
        <v>142218.13</v>
      </c>
      <c r="O229" s="2" t="s">
        <v>27</v>
      </c>
      <c r="P229" s="2">
        <v>32156</v>
      </c>
      <c r="Q229" s="2" t="s">
        <v>52</v>
      </c>
      <c r="R229" s="2" t="s">
        <v>29</v>
      </c>
      <c r="S229" s="2">
        <v>7</v>
      </c>
      <c r="T229" s="2">
        <v>1</v>
      </c>
      <c r="U229" s="2" t="str" cm="1">
        <f t="array" ref="U229">_xlfn.IFS(N229&gt;200000,"PEAK SALES",N229&gt;100000,"GOOD SALES",N229&gt;50000,"AVERAGE SALES",N229&lt;50000,"PROFIT",N229&lt;10000,"LOSS")</f>
        <v>GOOD SALES</v>
      </c>
      <c r="V229" s="2">
        <f t="shared" si="3"/>
        <v>2</v>
      </c>
    </row>
    <row r="230" spans="1:22" x14ac:dyDescent="0.25">
      <c r="A230" s="2">
        <v>2229</v>
      </c>
      <c r="B230" s="2" t="s">
        <v>114</v>
      </c>
      <c r="C230" s="2" t="s">
        <v>58</v>
      </c>
      <c r="D230" s="2" t="s">
        <v>73</v>
      </c>
      <c r="E230" s="2" t="s">
        <v>23</v>
      </c>
      <c r="F230" s="2" t="s">
        <v>24</v>
      </c>
      <c r="G230" s="2" t="s">
        <v>94</v>
      </c>
      <c r="H230" s="2" t="s">
        <v>36</v>
      </c>
      <c r="I230" s="2">
        <v>3</v>
      </c>
      <c r="J230" s="2">
        <v>13235</v>
      </c>
      <c r="K230" s="2">
        <v>2404.73</v>
      </c>
      <c r="L230" s="2">
        <v>3970.5</v>
      </c>
      <c r="M230" s="2">
        <v>308</v>
      </c>
      <c r="N230" s="2">
        <v>41578.769999999997</v>
      </c>
      <c r="O230" s="2" t="s">
        <v>27</v>
      </c>
      <c r="P230" s="2">
        <v>12302</v>
      </c>
      <c r="Q230" s="2" t="s">
        <v>63</v>
      </c>
      <c r="R230" s="2" t="s">
        <v>37</v>
      </c>
      <c r="S230" s="2">
        <v>6</v>
      </c>
      <c r="T230" s="2">
        <v>3</v>
      </c>
      <c r="U230" s="2" t="str" cm="1">
        <f t="array" ref="U230">_xlfn.IFS(N230&gt;200000,"PEAK SALES",N230&gt;100000,"GOOD SALES",N230&gt;50000,"AVERAGE SALES",N230&lt;50000,"PROFIT",N230&lt;10000,"LOSS")</f>
        <v>PROFIT</v>
      </c>
      <c r="V230" s="2">
        <f t="shared" si="3"/>
        <v>1</v>
      </c>
    </row>
    <row r="231" spans="1:22" x14ac:dyDescent="0.25">
      <c r="A231" s="2">
        <v>2230</v>
      </c>
      <c r="B231" s="2" t="s">
        <v>136</v>
      </c>
      <c r="C231" s="2" t="s">
        <v>65</v>
      </c>
      <c r="D231" s="2" t="s">
        <v>32</v>
      </c>
      <c r="E231" s="2" t="s">
        <v>56</v>
      </c>
      <c r="F231" s="2" t="s">
        <v>48</v>
      </c>
      <c r="G231" s="2" t="s">
        <v>49</v>
      </c>
      <c r="H231" s="2" t="s">
        <v>42</v>
      </c>
      <c r="I231" s="2">
        <v>5</v>
      </c>
      <c r="J231" s="2">
        <v>38642</v>
      </c>
      <c r="K231" s="2">
        <v>16576.78</v>
      </c>
      <c r="L231" s="2">
        <v>19321</v>
      </c>
      <c r="M231" s="2">
        <v>486</v>
      </c>
      <c r="N231" s="2">
        <v>196440.22</v>
      </c>
      <c r="O231" s="2" t="s">
        <v>62</v>
      </c>
      <c r="P231" s="2">
        <v>45475</v>
      </c>
      <c r="Q231" s="2" t="s">
        <v>63</v>
      </c>
      <c r="R231" s="2" t="s">
        <v>44</v>
      </c>
      <c r="S231" s="2">
        <v>9</v>
      </c>
      <c r="T231" s="2">
        <v>2</v>
      </c>
      <c r="U231" s="2" t="str" cm="1">
        <f t="array" ref="U231">_xlfn.IFS(N231&gt;200000,"PEAK SALES",N231&gt;100000,"GOOD SALES",N231&gt;50000,"AVERAGE SALES",N231&lt;50000,"PROFIT",N231&lt;10000,"LOSS")</f>
        <v>GOOD SALES</v>
      </c>
      <c r="V231" s="2">
        <f t="shared" si="3"/>
        <v>2</v>
      </c>
    </row>
    <row r="232" spans="1:22" x14ac:dyDescent="0.25">
      <c r="A232" s="2">
        <v>2231</v>
      </c>
      <c r="B232" s="2" t="s">
        <v>64</v>
      </c>
      <c r="C232" s="2" t="s">
        <v>68</v>
      </c>
      <c r="D232" s="2" t="s">
        <v>22</v>
      </c>
      <c r="E232" s="2" t="s">
        <v>79</v>
      </c>
      <c r="F232" s="2" t="s">
        <v>34</v>
      </c>
      <c r="G232" s="2" t="s">
        <v>80</v>
      </c>
      <c r="H232" s="2" t="s">
        <v>61</v>
      </c>
      <c r="I232" s="2">
        <v>1</v>
      </c>
      <c r="J232" s="2">
        <v>26414</v>
      </c>
      <c r="K232" s="2">
        <v>2334.9299999999998</v>
      </c>
      <c r="L232" s="2">
        <v>2641.4</v>
      </c>
      <c r="M232" s="2">
        <v>345</v>
      </c>
      <c r="N232" s="2">
        <v>27065.47</v>
      </c>
      <c r="O232" s="2" t="s">
        <v>27</v>
      </c>
      <c r="P232" s="2">
        <v>8062</v>
      </c>
      <c r="Q232" s="2" t="s">
        <v>28</v>
      </c>
      <c r="R232" s="2" t="s">
        <v>29</v>
      </c>
      <c r="S232" s="2">
        <v>5</v>
      </c>
      <c r="T232" s="2">
        <v>5</v>
      </c>
      <c r="U232" s="2" t="str" cm="1">
        <f t="array" ref="U232">_xlfn.IFS(N232&gt;200000,"PEAK SALES",N232&gt;100000,"GOOD SALES",N232&gt;50000,"AVERAGE SALES",N232&lt;50000,"PROFIT",N232&lt;10000,"LOSS")</f>
        <v>PROFIT</v>
      </c>
      <c r="V232" s="2">
        <f t="shared" si="3"/>
        <v>1</v>
      </c>
    </row>
    <row r="233" spans="1:22" x14ac:dyDescent="0.25">
      <c r="A233" s="2">
        <v>2232</v>
      </c>
      <c r="B233" s="2" t="s">
        <v>110</v>
      </c>
      <c r="C233" s="2" t="s">
        <v>87</v>
      </c>
      <c r="D233" s="2" t="s">
        <v>73</v>
      </c>
      <c r="E233" s="2" t="s">
        <v>79</v>
      </c>
      <c r="F233" s="2" t="s">
        <v>48</v>
      </c>
      <c r="G233" s="2" t="s">
        <v>49</v>
      </c>
      <c r="H233" s="2" t="s">
        <v>42</v>
      </c>
      <c r="I233" s="2">
        <v>2</v>
      </c>
      <c r="J233" s="2">
        <v>6642</v>
      </c>
      <c r="K233" s="2">
        <v>2213.81</v>
      </c>
      <c r="L233" s="2">
        <v>1328.4</v>
      </c>
      <c r="M233" s="2">
        <v>338</v>
      </c>
      <c r="N233" s="2">
        <v>12736.59</v>
      </c>
      <c r="O233" s="2" t="s">
        <v>27</v>
      </c>
      <c r="P233" s="2">
        <v>3181</v>
      </c>
      <c r="Q233" s="2" t="s">
        <v>52</v>
      </c>
      <c r="R233" s="2" t="s">
        <v>44</v>
      </c>
      <c r="S233" s="2">
        <v>7</v>
      </c>
      <c r="T233" s="2">
        <v>5</v>
      </c>
      <c r="U233" s="2" t="str" cm="1">
        <f t="array" ref="U233">_xlfn.IFS(N233&gt;200000,"PEAK SALES",N233&gt;100000,"GOOD SALES",N233&gt;50000,"AVERAGE SALES",N233&lt;50000,"PROFIT",N233&lt;10000,"LOSS")</f>
        <v>PROFIT</v>
      </c>
      <c r="V233" s="2">
        <f t="shared" si="3"/>
        <v>2</v>
      </c>
    </row>
    <row r="234" spans="1:22" x14ac:dyDescent="0.25">
      <c r="A234" s="2">
        <v>2233</v>
      </c>
      <c r="B234" s="2" t="s">
        <v>162</v>
      </c>
      <c r="C234" s="2" t="s">
        <v>39</v>
      </c>
      <c r="D234" s="2" t="s">
        <v>59</v>
      </c>
      <c r="E234" s="2" t="s">
        <v>47</v>
      </c>
      <c r="F234" s="2" t="s">
        <v>24</v>
      </c>
      <c r="G234" s="2" t="s">
        <v>94</v>
      </c>
      <c r="H234" s="2" t="s">
        <v>42</v>
      </c>
      <c r="I234" s="2">
        <v>3</v>
      </c>
      <c r="J234" s="2">
        <v>34516</v>
      </c>
      <c r="K234" s="2">
        <v>13485.18</v>
      </c>
      <c r="L234" s="2">
        <v>10354.799999999999</v>
      </c>
      <c r="M234" s="2">
        <v>250</v>
      </c>
      <c r="N234" s="2">
        <v>100667.62</v>
      </c>
      <c r="O234" s="2" t="s">
        <v>43</v>
      </c>
      <c r="P234" s="2">
        <v>11281</v>
      </c>
      <c r="Q234" s="2" t="s">
        <v>28</v>
      </c>
      <c r="R234" s="2" t="s">
        <v>37</v>
      </c>
      <c r="S234" s="2">
        <v>6</v>
      </c>
      <c r="T234" s="2">
        <v>2</v>
      </c>
      <c r="U234" s="2" t="str" cm="1">
        <f t="array" ref="U234">_xlfn.IFS(N234&gt;200000,"PEAK SALES",N234&gt;100000,"GOOD SALES",N234&gt;50000,"AVERAGE SALES",N234&lt;50000,"PROFIT",N234&lt;10000,"LOSS")</f>
        <v>GOOD SALES</v>
      </c>
      <c r="V234" s="2">
        <f t="shared" si="3"/>
        <v>4</v>
      </c>
    </row>
    <row r="235" spans="1:22" x14ac:dyDescent="0.25">
      <c r="A235" s="2">
        <v>2234</v>
      </c>
      <c r="B235" s="2" t="s">
        <v>170</v>
      </c>
      <c r="C235" s="2" t="s">
        <v>75</v>
      </c>
      <c r="D235" s="2" t="s">
        <v>73</v>
      </c>
      <c r="E235" s="2" t="s">
        <v>79</v>
      </c>
      <c r="F235" s="2" t="s">
        <v>48</v>
      </c>
      <c r="G235" s="2" t="s">
        <v>66</v>
      </c>
      <c r="H235" s="2" t="s">
        <v>26</v>
      </c>
      <c r="I235" s="2">
        <v>1</v>
      </c>
      <c r="J235" s="2">
        <v>16837</v>
      </c>
      <c r="K235" s="2">
        <v>934.38</v>
      </c>
      <c r="L235" s="2">
        <v>1683.7</v>
      </c>
      <c r="M235" s="2">
        <v>225</v>
      </c>
      <c r="N235" s="2">
        <v>17811.32</v>
      </c>
      <c r="O235" s="2" t="s">
        <v>50</v>
      </c>
      <c r="P235" s="2">
        <v>4601</v>
      </c>
      <c r="Q235" s="2" t="s">
        <v>28</v>
      </c>
      <c r="R235" s="2" t="s">
        <v>37</v>
      </c>
      <c r="S235" s="2">
        <v>6</v>
      </c>
      <c r="T235" s="2">
        <v>1</v>
      </c>
      <c r="U235" s="2" t="str" cm="1">
        <f t="array" ref="U235">_xlfn.IFS(N235&gt;200000,"PEAK SALES",N235&gt;100000,"GOOD SALES",N235&gt;50000,"AVERAGE SALES",N235&lt;50000,"PROFIT",N235&lt;10000,"LOSS")</f>
        <v>PROFIT</v>
      </c>
      <c r="V235" s="2">
        <f t="shared" si="3"/>
        <v>1</v>
      </c>
    </row>
    <row r="236" spans="1:22" x14ac:dyDescent="0.25">
      <c r="A236" s="2">
        <v>2235</v>
      </c>
      <c r="B236" s="2" t="s">
        <v>129</v>
      </c>
      <c r="C236" s="2" t="s">
        <v>58</v>
      </c>
      <c r="D236" s="2" t="s">
        <v>73</v>
      </c>
      <c r="E236" s="2" t="s">
        <v>47</v>
      </c>
      <c r="F236" s="2" t="s">
        <v>48</v>
      </c>
      <c r="G236" s="2" t="s">
        <v>77</v>
      </c>
      <c r="H236" s="2" t="s">
        <v>36</v>
      </c>
      <c r="I236" s="2">
        <v>4</v>
      </c>
      <c r="J236" s="2">
        <v>8796</v>
      </c>
      <c r="K236" s="2">
        <v>4611.72</v>
      </c>
      <c r="L236" s="2">
        <v>3518.4</v>
      </c>
      <c r="M236" s="2">
        <v>309</v>
      </c>
      <c r="N236" s="2">
        <v>34399.68</v>
      </c>
      <c r="O236" s="2" t="s">
        <v>27</v>
      </c>
      <c r="P236" s="2">
        <v>4708</v>
      </c>
      <c r="Q236" s="2" t="s">
        <v>63</v>
      </c>
      <c r="R236" s="2" t="s">
        <v>37</v>
      </c>
      <c r="S236" s="2">
        <v>5</v>
      </c>
      <c r="T236" s="2">
        <v>1</v>
      </c>
      <c r="U236" s="2" t="str" cm="1">
        <f t="array" ref="U236">_xlfn.IFS(N236&gt;200000,"PEAK SALES",N236&gt;100000,"GOOD SALES",N236&gt;50000,"AVERAGE SALES",N236&lt;50000,"PROFIT",N236&lt;10000,"LOSS")</f>
        <v>PROFIT</v>
      </c>
      <c r="V236" s="2">
        <f t="shared" si="3"/>
        <v>1</v>
      </c>
    </row>
    <row r="237" spans="1:22" x14ac:dyDescent="0.25">
      <c r="A237" s="2">
        <v>2236</v>
      </c>
      <c r="B237" s="2" t="s">
        <v>152</v>
      </c>
      <c r="C237" s="2" t="s">
        <v>46</v>
      </c>
      <c r="D237" s="2" t="s">
        <v>59</v>
      </c>
      <c r="E237" s="2" t="s">
        <v>56</v>
      </c>
      <c r="F237" s="2" t="s">
        <v>24</v>
      </c>
      <c r="G237" s="2" t="s">
        <v>25</v>
      </c>
      <c r="H237" s="2" t="s">
        <v>42</v>
      </c>
      <c r="I237" s="2">
        <v>1</v>
      </c>
      <c r="J237" s="2">
        <v>12677</v>
      </c>
      <c r="K237" s="2">
        <v>1403.28</v>
      </c>
      <c r="L237" s="2">
        <v>1267.7</v>
      </c>
      <c r="M237" s="2">
        <v>387</v>
      </c>
      <c r="N237" s="2">
        <v>12928.42</v>
      </c>
      <c r="O237" s="2" t="s">
        <v>43</v>
      </c>
      <c r="P237" s="2">
        <v>2649</v>
      </c>
      <c r="Q237" s="2" t="s">
        <v>63</v>
      </c>
      <c r="R237" s="2" t="s">
        <v>29</v>
      </c>
      <c r="S237" s="2">
        <v>2</v>
      </c>
      <c r="T237" s="2">
        <v>1</v>
      </c>
      <c r="U237" s="2" t="str" cm="1">
        <f t="array" ref="U237">_xlfn.IFS(N237&gt;200000,"PEAK SALES",N237&gt;100000,"GOOD SALES",N237&gt;50000,"AVERAGE SALES",N237&lt;50000,"PROFIT",N237&lt;10000,"LOSS")</f>
        <v>PROFIT</v>
      </c>
      <c r="V237" s="2">
        <f t="shared" si="3"/>
        <v>2</v>
      </c>
    </row>
    <row r="238" spans="1:22" x14ac:dyDescent="0.25">
      <c r="A238" s="2">
        <v>2237</v>
      </c>
      <c r="B238" s="2" t="s">
        <v>171</v>
      </c>
      <c r="C238" s="2" t="s">
        <v>46</v>
      </c>
      <c r="D238" s="2" t="s">
        <v>22</v>
      </c>
      <c r="E238" s="2" t="s">
        <v>47</v>
      </c>
      <c r="F238" s="2" t="s">
        <v>24</v>
      </c>
      <c r="G238" s="2" t="s">
        <v>25</v>
      </c>
      <c r="H238" s="2" t="s">
        <v>26</v>
      </c>
      <c r="I238" s="2">
        <v>1</v>
      </c>
      <c r="J238" s="2">
        <v>50388</v>
      </c>
      <c r="K238" s="2">
        <v>8693.7999999999993</v>
      </c>
      <c r="L238" s="2">
        <v>5038.8</v>
      </c>
      <c r="M238" s="2">
        <v>112</v>
      </c>
      <c r="N238" s="2">
        <v>46845</v>
      </c>
      <c r="O238" s="2" t="s">
        <v>62</v>
      </c>
      <c r="P238" s="2">
        <v>5392</v>
      </c>
      <c r="Q238" s="2" t="s">
        <v>28</v>
      </c>
      <c r="R238" s="2" t="s">
        <v>29</v>
      </c>
      <c r="S238" s="2">
        <v>7</v>
      </c>
      <c r="T238" s="2">
        <v>1</v>
      </c>
      <c r="U238" s="2" t="str" cm="1">
        <f t="array" ref="U238">_xlfn.IFS(N238&gt;200000,"PEAK SALES",N238&gt;100000,"GOOD SALES",N238&gt;50000,"AVERAGE SALES",N238&lt;50000,"PROFIT",N238&lt;10000,"LOSS")</f>
        <v>PROFIT</v>
      </c>
      <c r="V238" s="2">
        <f t="shared" si="3"/>
        <v>4</v>
      </c>
    </row>
    <row r="239" spans="1:22" x14ac:dyDescent="0.25">
      <c r="A239" s="2">
        <v>2238</v>
      </c>
      <c r="B239" s="2" t="s">
        <v>160</v>
      </c>
      <c r="C239" s="2" t="s">
        <v>58</v>
      </c>
      <c r="D239" s="2" t="s">
        <v>22</v>
      </c>
      <c r="E239" s="2" t="s">
        <v>103</v>
      </c>
      <c r="F239" s="2" t="s">
        <v>24</v>
      </c>
      <c r="G239" s="2" t="s">
        <v>69</v>
      </c>
      <c r="H239" s="2" t="s">
        <v>36</v>
      </c>
      <c r="I239" s="2">
        <v>1</v>
      </c>
      <c r="J239" s="2">
        <v>24290</v>
      </c>
      <c r="K239" s="2">
        <v>3191.29</v>
      </c>
      <c r="L239" s="2">
        <v>2429</v>
      </c>
      <c r="M239" s="2">
        <v>478</v>
      </c>
      <c r="N239" s="2">
        <v>24005.71</v>
      </c>
      <c r="O239" s="2" t="s">
        <v>50</v>
      </c>
      <c r="P239" s="2">
        <v>4368</v>
      </c>
      <c r="Q239" s="2" t="s">
        <v>28</v>
      </c>
      <c r="R239" s="2" t="s">
        <v>37</v>
      </c>
      <c r="S239" s="2">
        <v>4</v>
      </c>
      <c r="T239" s="2">
        <v>4</v>
      </c>
      <c r="U239" s="2" t="str" cm="1">
        <f t="array" ref="U239">_xlfn.IFS(N239&gt;200000,"PEAK SALES",N239&gt;100000,"GOOD SALES",N239&gt;50000,"AVERAGE SALES",N239&lt;50000,"PROFIT",N239&lt;10000,"LOSS")</f>
        <v>PROFIT</v>
      </c>
      <c r="V239" s="2">
        <f t="shared" si="3"/>
        <v>2</v>
      </c>
    </row>
    <row r="240" spans="1:22" x14ac:dyDescent="0.25">
      <c r="A240" s="2">
        <v>2239</v>
      </c>
      <c r="B240" s="2" t="s">
        <v>172</v>
      </c>
      <c r="C240" s="2" t="s">
        <v>39</v>
      </c>
      <c r="D240" s="2" t="s">
        <v>32</v>
      </c>
      <c r="E240" s="2" t="s">
        <v>54</v>
      </c>
      <c r="F240" s="2" t="s">
        <v>24</v>
      </c>
      <c r="G240" s="2" t="s">
        <v>25</v>
      </c>
      <c r="H240" s="2" t="s">
        <v>26</v>
      </c>
      <c r="I240" s="2">
        <v>2</v>
      </c>
      <c r="J240" s="2">
        <v>17907</v>
      </c>
      <c r="K240" s="2">
        <v>6219.71</v>
      </c>
      <c r="L240" s="2">
        <v>3581.4</v>
      </c>
      <c r="M240" s="2">
        <v>192</v>
      </c>
      <c r="N240" s="2">
        <v>33367.69</v>
      </c>
      <c r="O240" s="2" t="s">
        <v>62</v>
      </c>
      <c r="P240" s="2">
        <v>5697</v>
      </c>
      <c r="Q240" s="2" t="s">
        <v>52</v>
      </c>
      <c r="R240" s="2" t="s">
        <v>44</v>
      </c>
      <c r="S240" s="2">
        <v>10</v>
      </c>
      <c r="T240" s="2">
        <v>5</v>
      </c>
      <c r="U240" s="2" t="str" cm="1">
        <f t="array" ref="U240">_xlfn.IFS(N240&gt;200000,"PEAK SALES",N240&gt;100000,"GOOD SALES",N240&gt;50000,"AVERAGE SALES",N240&lt;50000,"PROFIT",N240&lt;10000,"LOSS")</f>
        <v>PROFIT</v>
      </c>
      <c r="V240" s="2">
        <f t="shared" si="3"/>
        <v>1</v>
      </c>
    </row>
    <row r="241" spans="1:22" x14ac:dyDescent="0.25">
      <c r="A241" s="2">
        <v>2240</v>
      </c>
      <c r="B241" s="2" t="s">
        <v>74</v>
      </c>
      <c r="C241" s="2" t="s">
        <v>39</v>
      </c>
      <c r="D241" s="2" t="s">
        <v>73</v>
      </c>
      <c r="E241" s="2" t="s">
        <v>56</v>
      </c>
      <c r="F241" s="2" t="s">
        <v>24</v>
      </c>
      <c r="G241" s="2" t="s">
        <v>69</v>
      </c>
      <c r="H241" s="2" t="s">
        <v>36</v>
      </c>
      <c r="I241" s="2">
        <v>3</v>
      </c>
      <c r="J241" s="2">
        <v>33688</v>
      </c>
      <c r="K241" s="2">
        <v>14070.4</v>
      </c>
      <c r="L241" s="2">
        <v>10106.4</v>
      </c>
      <c r="M241" s="2">
        <v>404</v>
      </c>
      <c r="N241" s="2">
        <v>97504</v>
      </c>
      <c r="O241" s="2" t="s">
        <v>50</v>
      </c>
      <c r="P241" s="2">
        <v>16441</v>
      </c>
      <c r="Q241" s="2" t="s">
        <v>63</v>
      </c>
      <c r="R241" s="2" t="s">
        <v>29</v>
      </c>
      <c r="S241" s="2">
        <v>9</v>
      </c>
      <c r="T241" s="2">
        <v>2</v>
      </c>
      <c r="U241" s="2" t="str" cm="1">
        <f t="array" ref="U241">_xlfn.IFS(N241&gt;200000,"PEAK SALES",N241&gt;100000,"GOOD SALES",N241&gt;50000,"AVERAGE SALES",N241&lt;50000,"PROFIT",N241&lt;10000,"LOSS")</f>
        <v>AVERAGE SALES</v>
      </c>
      <c r="V241" s="2">
        <f t="shared" si="3"/>
        <v>3</v>
      </c>
    </row>
    <row r="242" spans="1:22" x14ac:dyDescent="0.25">
      <c r="A242" s="2">
        <v>2241</v>
      </c>
      <c r="B242" s="2" t="s">
        <v>96</v>
      </c>
      <c r="C242" s="2" t="s">
        <v>21</v>
      </c>
      <c r="D242" s="2" t="s">
        <v>32</v>
      </c>
      <c r="E242" s="2" t="s">
        <v>40</v>
      </c>
      <c r="F242" s="2" t="s">
        <v>48</v>
      </c>
      <c r="G242" s="2" t="s">
        <v>77</v>
      </c>
      <c r="H242" s="2" t="s">
        <v>61</v>
      </c>
      <c r="I242" s="2">
        <v>2</v>
      </c>
      <c r="J242" s="2">
        <v>47699</v>
      </c>
      <c r="K242" s="2">
        <v>10606.86</v>
      </c>
      <c r="L242" s="2">
        <v>9539.7999999999993</v>
      </c>
      <c r="M242" s="2">
        <v>106</v>
      </c>
      <c r="N242" s="2">
        <v>94436.94</v>
      </c>
      <c r="O242" s="2" t="s">
        <v>50</v>
      </c>
      <c r="P242" s="2">
        <v>16231</v>
      </c>
      <c r="Q242" s="2" t="s">
        <v>28</v>
      </c>
      <c r="R242" s="2" t="s">
        <v>44</v>
      </c>
      <c r="S242" s="2">
        <v>7</v>
      </c>
      <c r="T242" s="2">
        <v>3</v>
      </c>
      <c r="U242" s="2" t="str" cm="1">
        <f t="array" ref="U242">_xlfn.IFS(N242&gt;200000,"PEAK SALES",N242&gt;100000,"GOOD SALES",N242&gt;50000,"AVERAGE SALES",N242&lt;50000,"PROFIT",N242&lt;10000,"LOSS")</f>
        <v>AVERAGE SALES</v>
      </c>
      <c r="V242" s="2">
        <f t="shared" si="3"/>
        <v>4</v>
      </c>
    </row>
    <row r="243" spans="1:22" x14ac:dyDescent="0.25">
      <c r="A243" s="2">
        <v>2242</v>
      </c>
      <c r="B243" s="2" t="s">
        <v>102</v>
      </c>
      <c r="C243" s="2" t="s">
        <v>65</v>
      </c>
      <c r="D243" s="2" t="s">
        <v>59</v>
      </c>
      <c r="E243" s="2" t="s">
        <v>40</v>
      </c>
      <c r="F243" s="2" t="s">
        <v>34</v>
      </c>
      <c r="G243" s="2" t="s">
        <v>41</v>
      </c>
      <c r="H243" s="2" t="s">
        <v>61</v>
      </c>
      <c r="I243" s="2">
        <v>2</v>
      </c>
      <c r="J243" s="2">
        <v>2125</v>
      </c>
      <c r="K243" s="2">
        <v>592.29999999999995</v>
      </c>
      <c r="L243" s="2">
        <v>425</v>
      </c>
      <c r="M243" s="2">
        <v>65</v>
      </c>
      <c r="N243" s="2">
        <v>4147.7</v>
      </c>
      <c r="O243" s="2" t="s">
        <v>62</v>
      </c>
      <c r="P243" s="2">
        <v>1072</v>
      </c>
      <c r="Q243" s="2" t="s">
        <v>63</v>
      </c>
      <c r="R243" s="2" t="s">
        <v>44</v>
      </c>
      <c r="S243" s="2">
        <v>3</v>
      </c>
      <c r="T243" s="2">
        <v>4</v>
      </c>
      <c r="U243" s="2" t="str" cm="1">
        <f t="array" ref="U243">_xlfn.IFS(N243&gt;200000,"PEAK SALES",N243&gt;100000,"GOOD SALES",N243&gt;50000,"AVERAGE SALES",N243&lt;50000,"PROFIT",N243&lt;10000,"LOSS")</f>
        <v>PROFIT</v>
      </c>
      <c r="V243" s="2">
        <f t="shared" si="3"/>
        <v>3</v>
      </c>
    </row>
    <row r="244" spans="1:22" x14ac:dyDescent="0.25">
      <c r="A244" s="2">
        <v>2243</v>
      </c>
      <c r="B244" s="2" t="s">
        <v>115</v>
      </c>
      <c r="C244" s="2" t="s">
        <v>72</v>
      </c>
      <c r="D244" s="2" t="s">
        <v>73</v>
      </c>
      <c r="E244" s="2" t="s">
        <v>47</v>
      </c>
      <c r="F244" s="2" t="s">
        <v>48</v>
      </c>
      <c r="G244" s="2" t="s">
        <v>77</v>
      </c>
      <c r="H244" s="2" t="s">
        <v>42</v>
      </c>
      <c r="I244" s="2">
        <v>5</v>
      </c>
      <c r="J244" s="2">
        <v>18766</v>
      </c>
      <c r="K244" s="2">
        <v>18234.009999999998</v>
      </c>
      <c r="L244" s="2">
        <v>9383</v>
      </c>
      <c r="M244" s="2">
        <v>370</v>
      </c>
      <c r="N244" s="2">
        <v>85348.99</v>
      </c>
      <c r="O244" s="2" t="s">
        <v>50</v>
      </c>
      <c r="P244" s="2">
        <v>16355</v>
      </c>
      <c r="Q244" s="2" t="s">
        <v>52</v>
      </c>
      <c r="R244" s="2" t="s">
        <v>44</v>
      </c>
      <c r="S244" s="2">
        <v>2</v>
      </c>
      <c r="T244" s="2">
        <v>4</v>
      </c>
      <c r="U244" s="2" t="str" cm="1">
        <f t="array" ref="U244">_xlfn.IFS(N244&gt;200000,"PEAK SALES",N244&gt;100000,"GOOD SALES",N244&gt;50000,"AVERAGE SALES",N244&lt;50000,"PROFIT",N244&lt;10000,"LOSS")</f>
        <v>AVERAGE SALES</v>
      </c>
      <c r="V244" s="2">
        <f t="shared" si="3"/>
        <v>1</v>
      </c>
    </row>
    <row r="245" spans="1:22" x14ac:dyDescent="0.25">
      <c r="A245" s="2">
        <v>2244</v>
      </c>
      <c r="B245" s="2" t="s">
        <v>114</v>
      </c>
      <c r="C245" s="2" t="s">
        <v>72</v>
      </c>
      <c r="D245" s="2" t="s">
        <v>73</v>
      </c>
      <c r="E245" s="2" t="s">
        <v>56</v>
      </c>
      <c r="F245" s="2" t="s">
        <v>24</v>
      </c>
      <c r="G245" s="2" t="s">
        <v>25</v>
      </c>
      <c r="H245" s="2" t="s">
        <v>36</v>
      </c>
      <c r="I245" s="2">
        <v>1</v>
      </c>
      <c r="J245" s="2">
        <v>8874</v>
      </c>
      <c r="K245" s="2">
        <v>1220.8800000000001</v>
      </c>
      <c r="L245" s="2">
        <v>887.4</v>
      </c>
      <c r="M245" s="2">
        <v>399</v>
      </c>
      <c r="N245" s="2">
        <v>8939.52</v>
      </c>
      <c r="O245" s="2" t="s">
        <v>43</v>
      </c>
      <c r="P245" s="2">
        <v>1769</v>
      </c>
      <c r="Q245" s="2" t="s">
        <v>28</v>
      </c>
      <c r="R245" s="2" t="s">
        <v>29</v>
      </c>
      <c r="S245" s="2">
        <v>9</v>
      </c>
      <c r="T245" s="2">
        <v>5</v>
      </c>
      <c r="U245" s="2" t="str" cm="1">
        <f t="array" ref="U245">_xlfn.IFS(N245&gt;200000,"PEAK SALES",N245&gt;100000,"GOOD SALES",N245&gt;50000,"AVERAGE SALES",N245&lt;50000,"PROFIT",N245&lt;10000,"LOSS")</f>
        <v>PROFIT</v>
      </c>
      <c r="V245" s="2">
        <f t="shared" si="3"/>
        <v>1</v>
      </c>
    </row>
    <row r="246" spans="1:22" x14ac:dyDescent="0.25">
      <c r="A246" s="2">
        <v>2245</v>
      </c>
      <c r="B246" s="2" t="s">
        <v>171</v>
      </c>
      <c r="C246" s="2" t="s">
        <v>39</v>
      </c>
      <c r="D246" s="2" t="s">
        <v>59</v>
      </c>
      <c r="E246" s="2" t="s">
        <v>79</v>
      </c>
      <c r="F246" s="2" t="s">
        <v>24</v>
      </c>
      <c r="G246" s="2" t="s">
        <v>94</v>
      </c>
      <c r="H246" s="2" t="s">
        <v>36</v>
      </c>
      <c r="I246" s="2">
        <v>3</v>
      </c>
      <c r="J246" s="2">
        <v>20328</v>
      </c>
      <c r="K246" s="2">
        <v>9237.98</v>
      </c>
      <c r="L246" s="2">
        <v>6098.4</v>
      </c>
      <c r="M246" s="2">
        <v>287</v>
      </c>
      <c r="N246" s="2">
        <v>58131.420000000013</v>
      </c>
      <c r="O246" s="2" t="s">
        <v>27</v>
      </c>
      <c r="P246" s="2">
        <v>11781</v>
      </c>
      <c r="Q246" s="2" t="s">
        <v>52</v>
      </c>
      <c r="R246" s="2" t="s">
        <v>44</v>
      </c>
      <c r="S246" s="2">
        <v>3</v>
      </c>
      <c r="T246" s="2">
        <v>4</v>
      </c>
      <c r="U246" s="2" t="str" cm="1">
        <f t="array" ref="U246">_xlfn.IFS(N246&gt;200000,"PEAK SALES",N246&gt;100000,"GOOD SALES",N246&gt;50000,"AVERAGE SALES",N246&lt;50000,"PROFIT",N246&lt;10000,"LOSS")</f>
        <v>AVERAGE SALES</v>
      </c>
      <c r="V246" s="2">
        <f t="shared" si="3"/>
        <v>4</v>
      </c>
    </row>
    <row r="247" spans="1:22" x14ac:dyDescent="0.25">
      <c r="A247" s="2">
        <v>2246</v>
      </c>
      <c r="B247" s="2" t="s">
        <v>55</v>
      </c>
      <c r="C247" s="2" t="s">
        <v>58</v>
      </c>
      <c r="D247" s="2" t="s">
        <v>22</v>
      </c>
      <c r="E247" s="2" t="s">
        <v>56</v>
      </c>
      <c r="F247" s="2" t="s">
        <v>24</v>
      </c>
      <c r="G247" s="2" t="s">
        <v>25</v>
      </c>
      <c r="H247" s="2" t="s">
        <v>26</v>
      </c>
      <c r="I247" s="2">
        <v>5</v>
      </c>
      <c r="J247" s="2">
        <v>54602</v>
      </c>
      <c r="K247" s="2">
        <v>21015.25</v>
      </c>
      <c r="L247" s="2">
        <v>27301</v>
      </c>
      <c r="M247" s="2">
        <v>438</v>
      </c>
      <c r="N247" s="2">
        <v>279733.75</v>
      </c>
      <c r="O247" s="2" t="s">
        <v>62</v>
      </c>
      <c r="P247" s="2">
        <v>59289</v>
      </c>
      <c r="Q247" s="2" t="s">
        <v>28</v>
      </c>
      <c r="R247" s="2" t="s">
        <v>29</v>
      </c>
      <c r="S247" s="2">
        <v>8</v>
      </c>
      <c r="T247" s="2">
        <v>4</v>
      </c>
      <c r="U247" s="2" t="str" cm="1">
        <f t="array" ref="U247">_xlfn.IFS(N247&gt;200000,"PEAK SALES",N247&gt;100000,"GOOD SALES",N247&gt;50000,"AVERAGE SALES",N247&lt;50000,"PROFIT",N247&lt;10000,"LOSS")</f>
        <v>PEAK SALES</v>
      </c>
      <c r="V247" s="2">
        <f t="shared" si="3"/>
        <v>2</v>
      </c>
    </row>
    <row r="248" spans="1:22" x14ac:dyDescent="0.25">
      <c r="A248" s="2">
        <v>2247</v>
      </c>
      <c r="B248" s="2" t="s">
        <v>136</v>
      </c>
      <c r="C248" s="2" t="s">
        <v>75</v>
      </c>
      <c r="D248" s="2" t="s">
        <v>32</v>
      </c>
      <c r="E248" s="2" t="s">
        <v>103</v>
      </c>
      <c r="F248" s="2" t="s">
        <v>48</v>
      </c>
      <c r="G248" s="2" t="s">
        <v>49</v>
      </c>
      <c r="H248" s="2" t="s">
        <v>36</v>
      </c>
      <c r="I248" s="2">
        <v>4</v>
      </c>
      <c r="J248" s="2">
        <v>25697</v>
      </c>
      <c r="K248" s="2">
        <v>10801.38</v>
      </c>
      <c r="L248" s="2">
        <v>10278.799999999999</v>
      </c>
      <c r="M248" s="2">
        <v>210</v>
      </c>
      <c r="N248" s="2">
        <v>102475.42</v>
      </c>
      <c r="O248" s="2" t="s">
        <v>62</v>
      </c>
      <c r="P248" s="2">
        <v>11574</v>
      </c>
      <c r="Q248" s="2" t="s">
        <v>28</v>
      </c>
      <c r="R248" s="2" t="s">
        <v>44</v>
      </c>
      <c r="S248" s="2">
        <v>7</v>
      </c>
      <c r="T248" s="2">
        <v>3</v>
      </c>
      <c r="U248" s="2" t="str" cm="1">
        <f t="array" ref="U248">_xlfn.IFS(N248&gt;200000,"PEAK SALES",N248&gt;100000,"GOOD SALES",N248&gt;50000,"AVERAGE SALES",N248&lt;50000,"PROFIT",N248&lt;10000,"LOSS")</f>
        <v>GOOD SALES</v>
      </c>
      <c r="V248" s="2">
        <f t="shared" si="3"/>
        <v>2</v>
      </c>
    </row>
    <row r="249" spans="1:22" x14ac:dyDescent="0.25">
      <c r="A249" s="2">
        <v>2248</v>
      </c>
      <c r="B249" s="2" t="s">
        <v>134</v>
      </c>
      <c r="C249" s="2" t="s">
        <v>72</v>
      </c>
      <c r="D249" s="2" t="s">
        <v>32</v>
      </c>
      <c r="E249" s="2" t="s">
        <v>103</v>
      </c>
      <c r="F249" s="2" t="s">
        <v>34</v>
      </c>
      <c r="G249" s="2" t="s">
        <v>41</v>
      </c>
      <c r="H249" s="2" t="s">
        <v>42</v>
      </c>
      <c r="I249" s="2">
        <v>2</v>
      </c>
      <c r="J249" s="2">
        <v>43486</v>
      </c>
      <c r="K249" s="2">
        <v>7091.43</v>
      </c>
      <c r="L249" s="2">
        <v>8697.2000000000007</v>
      </c>
      <c r="M249" s="2">
        <v>187</v>
      </c>
      <c r="N249" s="2">
        <v>88764.77</v>
      </c>
      <c r="O249" s="2" t="s">
        <v>43</v>
      </c>
      <c r="P249" s="2">
        <v>10947</v>
      </c>
      <c r="Q249" s="2" t="s">
        <v>63</v>
      </c>
      <c r="R249" s="2" t="s">
        <v>44</v>
      </c>
      <c r="S249" s="2">
        <v>4</v>
      </c>
      <c r="T249" s="2">
        <v>2</v>
      </c>
      <c r="U249" s="2" t="str" cm="1">
        <f t="array" ref="U249">_xlfn.IFS(N249&gt;200000,"PEAK SALES",N249&gt;100000,"GOOD SALES",N249&gt;50000,"AVERAGE SALES",N249&lt;50000,"PROFIT",N249&lt;10000,"LOSS")</f>
        <v>AVERAGE SALES</v>
      </c>
      <c r="V249" s="2">
        <f t="shared" si="3"/>
        <v>1</v>
      </c>
    </row>
    <row r="250" spans="1:22" x14ac:dyDescent="0.25">
      <c r="A250" s="2">
        <v>2249</v>
      </c>
      <c r="B250" s="2" t="s">
        <v>154</v>
      </c>
      <c r="C250" s="2" t="s">
        <v>39</v>
      </c>
      <c r="D250" s="2" t="s">
        <v>59</v>
      </c>
      <c r="E250" s="2" t="s">
        <v>103</v>
      </c>
      <c r="F250" s="2" t="s">
        <v>34</v>
      </c>
      <c r="G250" s="2" t="s">
        <v>80</v>
      </c>
      <c r="H250" s="2" t="s">
        <v>26</v>
      </c>
      <c r="I250" s="2">
        <v>5</v>
      </c>
      <c r="J250" s="2">
        <v>59806</v>
      </c>
      <c r="K250" s="2">
        <v>20496.580000000002</v>
      </c>
      <c r="L250" s="2">
        <v>29903</v>
      </c>
      <c r="M250" s="2">
        <v>99</v>
      </c>
      <c r="N250" s="2">
        <v>308535.42</v>
      </c>
      <c r="O250" s="2" t="s">
        <v>27</v>
      </c>
      <c r="P250" s="2">
        <v>86322</v>
      </c>
      <c r="Q250" s="2" t="s">
        <v>52</v>
      </c>
      <c r="R250" s="2" t="s">
        <v>44</v>
      </c>
      <c r="S250" s="2">
        <v>4</v>
      </c>
      <c r="T250" s="2">
        <v>4</v>
      </c>
      <c r="U250" s="2" t="str" cm="1">
        <f t="array" ref="U250">_xlfn.IFS(N250&gt;200000,"PEAK SALES",N250&gt;100000,"GOOD SALES",N250&gt;50000,"AVERAGE SALES",N250&lt;50000,"PROFIT",N250&lt;10000,"LOSS")</f>
        <v>PEAK SALES</v>
      </c>
      <c r="V250" s="2">
        <f t="shared" si="3"/>
        <v>4</v>
      </c>
    </row>
    <row r="251" spans="1:22" x14ac:dyDescent="0.25">
      <c r="A251" s="2">
        <v>2250</v>
      </c>
      <c r="B251" s="2" t="s">
        <v>169</v>
      </c>
      <c r="C251" s="2" t="s">
        <v>75</v>
      </c>
      <c r="D251" s="2" t="s">
        <v>32</v>
      </c>
      <c r="E251" s="2" t="s">
        <v>23</v>
      </c>
      <c r="F251" s="2" t="s">
        <v>48</v>
      </c>
      <c r="G251" s="2" t="s">
        <v>77</v>
      </c>
      <c r="H251" s="2" t="s">
        <v>61</v>
      </c>
      <c r="I251" s="2">
        <v>3</v>
      </c>
      <c r="J251" s="2">
        <v>53041</v>
      </c>
      <c r="K251" s="2">
        <v>29804.6</v>
      </c>
      <c r="L251" s="2">
        <v>15912.3</v>
      </c>
      <c r="M251" s="2">
        <v>173</v>
      </c>
      <c r="N251" s="2">
        <v>145403.70000000001</v>
      </c>
      <c r="O251" s="2" t="s">
        <v>62</v>
      </c>
      <c r="P251" s="2">
        <v>19655</v>
      </c>
      <c r="Q251" s="2" t="s">
        <v>52</v>
      </c>
      <c r="R251" s="2" t="s">
        <v>37</v>
      </c>
      <c r="S251" s="2">
        <v>2</v>
      </c>
      <c r="T251" s="2">
        <v>2</v>
      </c>
      <c r="U251" s="2" t="str" cm="1">
        <f t="array" ref="U251">_xlfn.IFS(N251&gt;200000,"PEAK SALES",N251&gt;100000,"GOOD SALES",N251&gt;50000,"AVERAGE SALES",N251&lt;50000,"PROFIT",N251&lt;10000,"LOSS")</f>
        <v>GOOD SALES</v>
      </c>
      <c r="V251" s="2">
        <f t="shared" si="3"/>
        <v>3</v>
      </c>
    </row>
    <row r="252" spans="1:22" x14ac:dyDescent="0.25">
      <c r="A252" s="2">
        <v>2251</v>
      </c>
      <c r="B252" s="2" t="s">
        <v>158</v>
      </c>
      <c r="C252" s="2" t="s">
        <v>39</v>
      </c>
      <c r="D252" s="2" t="s">
        <v>59</v>
      </c>
      <c r="E252" s="2" t="s">
        <v>23</v>
      </c>
      <c r="F252" s="2" t="s">
        <v>48</v>
      </c>
      <c r="G252" s="2" t="s">
        <v>77</v>
      </c>
      <c r="H252" s="2" t="s">
        <v>36</v>
      </c>
      <c r="I252" s="2">
        <v>2</v>
      </c>
      <c r="J252" s="2">
        <v>23042</v>
      </c>
      <c r="K252" s="2">
        <v>2958.4</v>
      </c>
      <c r="L252" s="2">
        <v>4608.3999999999996</v>
      </c>
      <c r="M252" s="2">
        <v>348</v>
      </c>
      <c r="N252" s="2">
        <v>48082</v>
      </c>
      <c r="O252" s="2" t="s">
        <v>43</v>
      </c>
      <c r="P252" s="2">
        <v>5515</v>
      </c>
      <c r="Q252" s="2" t="s">
        <v>63</v>
      </c>
      <c r="R252" s="2" t="s">
        <v>29</v>
      </c>
      <c r="S252" s="2">
        <v>7</v>
      </c>
      <c r="T252" s="2">
        <v>5</v>
      </c>
      <c r="U252" s="2" t="str" cm="1">
        <f t="array" ref="U252">_xlfn.IFS(N252&gt;200000,"PEAK SALES",N252&gt;100000,"GOOD SALES",N252&gt;50000,"AVERAGE SALES",N252&lt;50000,"PROFIT",N252&lt;10000,"LOSS")</f>
        <v>PROFIT</v>
      </c>
      <c r="V252" s="2">
        <f t="shared" si="3"/>
        <v>1</v>
      </c>
    </row>
    <row r="253" spans="1:22" x14ac:dyDescent="0.25">
      <c r="A253" s="2">
        <v>2252</v>
      </c>
      <c r="B253" s="2" t="s">
        <v>141</v>
      </c>
      <c r="C253" s="2" t="s">
        <v>58</v>
      </c>
      <c r="D253" s="2" t="s">
        <v>59</v>
      </c>
      <c r="E253" s="2" t="s">
        <v>103</v>
      </c>
      <c r="F253" s="2" t="s">
        <v>48</v>
      </c>
      <c r="G253" s="2" t="s">
        <v>66</v>
      </c>
      <c r="H253" s="2" t="s">
        <v>42</v>
      </c>
      <c r="I253" s="2">
        <v>5</v>
      </c>
      <c r="J253" s="2">
        <v>54536</v>
      </c>
      <c r="K253" s="2">
        <v>15280.71</v>
      </c>
      <c r="L253" s="2">
        <v>27268</v>
      </c>
      <c r="M253" s="2">
        <v>271</v>
      </c>
      <c r="N253" s="2">
        <v>284938.28999999998</v>
      </c>
      <c r="O253" s="2" t="s">
        <v>62</v>
      </c>
      <c r="P253" s="2">
        <v>35245</v>
      </c>
      <c r="Q253" s="2" t="s">
        <v>52</v>
      </c>
      <c r="R253" s="2" t="s">
        <v>44</v>
      </c>
      <c r="S253" s="2">
        <v>10</v>
      </c>
      <c r="T253" s="2">
        <v>1</v>
      </c>
      <c r="U253" s="2" t="str" cm="1">
        <f t="array" ref="U253">_xlfn.IFS(N253&gt;200000,"PEAK SALES",N253&gt;100000,"GOOD SALES",N253&gt;50000,"AVERAGE SALES",N253&lt;50000,"PROFIT",N253&lt;10000,"LOSS")</f>
        <v>PEAK SALES</v>
      </c>
      <c r="V253" s="2">
        <f t="shared" si="3"/>
        <v>1</v>
      </c>
    </row>
    <row r="254" spans="1:22" x14ac:dyDescent="0.25">
      <c r="A254" s="2">
        <v>2253</v>
      </c>
      <c r="B254" s="2" t="s">
        <v>165</v>
      </c>
      <c r="C254" s="2" t="s">
        <v>46</v>
      </c>
      <c r="D254" s="2" t="s">
        <v>73</v>
      </c>
      <c r="E254" s="2" t="s">
        <v>79</v>
      </c>
      <c r="F254" s="2" t="s">
        <v>24</v>
      </c>
      <c r="G254" s="2" t="s">
        <v>69</v>
      </c>
      <c r="H254" s="2" t="s">
        <v>42</v>
      </c>
      <c r="I254" s="2">
        <v>1</v>
      </c>
      <c r="J254" s="2">
        <v>49934</v>
      </c>
      <c r="K254" s="2">
        <v>2986.8</v>
      </c>
      <c r="L254" s="2">
        <v>4993.3999999999996</v>
      </c>
      <c r="M254" s="2">
        <v>430</v>
      </c>
      <c r="N254" s="2">
        <v>52370.6</v>
      </c>
      <c r="O254" s="2" t="s">
        <v>43</v>
      </c>
      <c r="P254" s="2">
        <v>14673</v>
      </c>
      <c r="Q254" s="2" t="s">
        <v>52</v>
      </c>
      <c r="R254" s="2" t="s">
        <v>44</v>
      </c>
      <c r="S254" s="2">
        <v>2</v>
      </c>
      <c r="T254" s="2">
        <v>4</v>
      </c>
      <c r="U254" s="2" t="str" cm="1">
        <f t="array" ref="U254">_xlfn.IFS(N254&gt;200000,"PEAK SALES",N254&gt;100000,"GOOD SALES",N254&gt;50000,"AVERAGE SALES",N254&lt;50000,"PROFIT",N254&lt;10000,"LOSS")</f>
        <v>AVERAGE SALES</v>
      </c>
      <c r="V254" s="2">
        <f t="shared" si="3"/>
        <v>2</v>
      </c>
    </row>
    <row r="255" spans="1:22" x14ac:dyDescent="0.25">
      <c r="A255" s="2">
        <v>2254</v>
      </c>
      <c r="B255" s="2" t="s">
        <v>96</v>
      </c>
      <c r="C255" s="2" t="s">
        <v>31</v>
      </c>
      <c r="D255" s="2" t="s">
        <v>59</v>
      </c>
      <c r="E255" s="2" t="s">
        <v>40</v>
      </c>
      <c r="F255" s="2" t="s">
        <v>34</v>
      </c>
      <c r="G255" s="2" t="s">
        <v>35</v>
      </c>
      <c r="H255" s="2" t="s">
        <v>61</v>
      </c>
      <c r="I255" s="2">
        <v>5</v>
      </c>
      <c r="J255" s="2">
        <v>58335</v>
      </c>
      <c r="K255" s="2">
        <v>50955.59</v>
      </c>
      <c r="L255" s="2">
        <v>29167.5</v>
      </c>
      <c r="M255" s="2">
        <v>494</v>
      </c>
      <c r="N255" s="2">
        <v>270380.90999999997</v>
      </c>
      <c r="O255" s="2" t="s">
        <v>50</v>
      </c>
      <c r="P255" s="2">
        <v>51095</v>
      </c>
      <c r="Q255" s="2" t="s">
        <v>63</v>
      </c>
      <c r="R255" s="2" t="s">
        <v>37</v>
      </c>
      <c r="S255" s="2">
        <v>6</v>
      </c>
      <c r="T255" s="2">
        <v>2</v>
      </c>
      <c r="U255" s="2" t="str" cm="1">
        <f t="array" ref="U255">_xlfn.IFS(N255&gt;200000,"PEAK SALES",N255&gt;100000,"GOOD SALES",N255&gt;50000,"AVERAGE SALES",N255&lt;50000,"PROFIT",N255&lt;10000,"LOSS")</f>
        <v>PEAK SALES</v>
      </c>
      <c r="V255" s="2">
        <f t="shared" si="3"/>
        <v>4</v>
      </c>
    </row>
    <row r="256" spans="1:22" x14ac:dyDescent="0.25">
      <c r="A256" s="2">
        <v>2255</v>
      </c>
      <c r="B256" s="2" t="s">
        <v>149</v>
      </c>
      <c r="C256" s="2" t="s">
        <v>75</v>
      </c>
      <c r="D256" s="2" t="s">
        <v>73</v>
      </c>
      <c r="E256" s="2" t="s">
        <v>40</v>
      </c>
      <c r="F256" s="2" t="s">
        <v>24</v>
      </c>
      <c r="G256" s="2" t="s">
        <v>25</v>
      </c>
      <c r="H256" s="2" t="s">
        <v>36</v>
      </c>
      <c r="I256" s="2">
        <v>2</v>
      </c>
      <c r="J256" s="2">
        <v>47334</v>
      </c>
      <c r="K256" s="2">
        <v>12666.53</v>
      </c>
      <c r="L256" s="2">
        <v>9466.7999999999993</v>
      </c>
      <c r="M256" s="2">
        <v>204</v>
      </c>
      <c r="N256" s="2">
        <v>91672.27</v>
      </c>
      <c r="O256" s="2" t="s">
        <v>62</v>
      </c>
      <c r="P256" s="2">
        <v>11188</v>
      </c>
      <c r="Q256" s="2" t="s">
        <v>63</v>
      </c>
      <c r="R256" s="2" t="s">
        <v>37</v>
      </c>
      <c r="S256" s="2">
        <v>3</v>
      </c>
      <c r="T256" s="2">
        <v>4</v>
      </c>
      <c r="U256" s="2" t="str" cm="1">
        <f t="array" ref="U256">_xlfn.IFS(N256&gt;200000,"PEAK SALES",N256&gt;100000,"GOOD SALES",N256&gt;50000,"AVERAGE SALES",N256&lt;50000,"PROFIT",N256&lt;10000,"LOSS")</f>
        <v>AVERAGE SALES</v>
      </c>
      <c r="V256" s="2">
        <f t="shared" si="3"/>
        <v>2</v>
      </c>
    </row>
    <row r="257" spans="1:22" x14ac:dyDescent="0.25">
      <c r="A257" s="2">
        <v>2256</v>
      </c>
      <c r="B257" s="2" t="s">
        <v>133</v>
      </c>
      <c r="C257" s="2" t="s">
        <v>21</v>
      </c>
      <c r="D257" s="2" t="s">
        <v>22</v>
      </c>
      <c r="E257" s="2" t="s">
        <v>33</v>
      </c>
      <c r="F257" s="2" t="s">
        <v>48</v>
      </c>
      <c r="G257" s="2" t="s">
        <v>77</v>
      </c>
      <c r="H257" s="2" t="s">
        <v>26</v>
      </c>
      <c r="I257" s="2">
        <v>4</v>
      </c>
      <c r="J257" s="2">
        <v>44878</v>
      </c>
      <c r="K257" s="2">
        <v>20113.490000000002</v>
      </c>
      <c r="L257" s="2">
        <v>17951.2</v>
      </c>
      <c r="M257" s="2">
        <v>70</v>
      </c>
      <c r="N257" s="2">
        <v>177419.71</v>
      </c>
      <c r="O257" s="2" t="s">
        <v>62</v>
      </c>
      <c r="P257" s="2">
        <v>24387</v>
      </c>
      <c r="Q257" s="2" t="s">
        <v>28</v>
      </c>
      <c r="R257" s="2" t="s">
        <v>44</v>
      </c>
      <c r="S257" s="2">
        <v>2</v>
      </c>
      <c r="T257" s="2">
        <v>1</v>
      </c>
      <c r="U257" s="2" t="str" cm="1">
        <f t="array" ref="U257">_xlfn.IFS(N257&gt;200000,"PEAK SALES",N257&gt;100000,"GOOD SALES",N257&gt;50000,"AVERAGE SALES",N257&lt;50000,"PROFIT",N257&lt;10000,"LOSS")</f>
        <v>GOOD SALES</v>
      </c>
      <c r="V257" s="2">
        <f t="shared" si="3"/>
        <v>2</v>
      </c>
    </row>
    <row r="258" spans="1:22" x14ac:dyDescent="0.25">
      <c r="A258" s="2">
        <v>2257</v>
      </c>
      <c r="B258" s="2" t="s">
        <v>172</v>
      </c>
      <c r="C258" s="2" t="s">
        <v>39</v>
      </c>
      <c r="D258" s="2" t="s">
        <v>59</v>
      </c>
      <c r="E258" s="2" t="s">
        <v>54</v>
      </c>
      <c r="F258" s="2" t="s">
        <v>48</v>
      </c>
      <c r="G258" s="2" t="s">
        <v>49</v>
      </c>
      <c r="H258" s="2" t="s">
        <v>26</v>
      </c>
      <c r="I258" s="2">
        <v>5</v>
      </c>
      <c r="J258" s="2">
        <v>51750</v>
      </c>
      <c r="K258" s="2">
        <v>43402.05</v>
      </c>
      <c r="L258" s="2">
        <v>25875</v>
      </c>
      <c r="M258" s="2">
        <v>412</v>
      </c>
      <c r="N258" s="2">
        <v>241634.95</v>
      </c>
      <c r="O258" s="2" t="s">
        <v>62</v>
      </c>
      <c r="P258" s="2">
        <v>39777</v>
      </c>
      <c r="Q258" s="2" t="s">
        <v>63</v>
      </c>
      <c r="R258" s="2" t="s">
        <v>44</v>
      </c>
      <c r="S258" s="2">
        <v>1</v>
      </c>
      <c r="T258" s="2">
        <v>1</v>
      </c>
      <c r="U258" s="2" t="str" cm="1">
        <f t="array" ref="U258">_xlfn.IFS(N258&gt;200000,"PEAK SALES",N258&gt;100000,"GOOD SALES",N258&gt;50000,"AVERAGE SALES",N258&lt;50000,"PROFIT",N258&lt;10000,"LOSS")</f>
        <v>PEAK SALES</v>
      </c>
      <c r="V258" s="2">
        <f t="shared" si="3"/>
        <v>1</v>
      </c>
    </row>
    <row r="259" spans="1:22" x14ac:dyDescent="0.25">
      <c r="A259" s="2">
        <v>2258</v>
      </c>
      <c r="B259" s="2" t="s">
        <v>142</v>
      </c>
      <c r="C259" s="2" t="s">
        <v>75</v>
      </c>
      <c r="D259" s="2" t="s">
        <v>22</v>
      </c>
      <c r="E259" s="2" t="s">
        <v>54</v>
      </c>
      <c r="F259" s="2" t="s">
        <v>34</v>
      </c>
      <c r="G259" s="2" t="s">
        <v>41</v>
      </c>
      <c r="H259" s="2" t="s">
        <v>36</v>
      </c>
      <c r="I259" s="2">
        <v>4</v>
      </c>
      <c r="J259" s="2">
        <v>6517</v>
      </c>
      <c r="K259" s="2">
        <v>2719.83</v>
      </c>
      <c r="L259" s="2">
        <v>2606.8000000000002</v>
      </c>
      <c r="M259" s="2">
        <v>108</v>
      </c>
      <c r="N259" s="2">
        <v>26062.97</v>
      </c>
      <c r="O259" s="2" t="s">
        <v>43</v>
      </c>
      <c r="P259" s="2">
        <v>3965</v>
      </c>
      <c r="Q259" s="2" t="s">
        <v>63</v>
      </c>
      <c r="R259" s="2" t="s">
        <v>44</v>
      </c>
      <c r="S259" s="2">
        <v>1</v>
      </c>
      <c r="T259" s="2">
        <v>4</v>
      </c>
      <c r="U259" s="2" t="str" cm="1">
        <f t="array" ref="U259">_xlfn.IFS(N259&gt;200000,"PEAK SALES",N259&gt;100000,"GOOD SALES",N259&gt;50000,"AVERAGE SALES",N259&lt;50000,"PROFIT",N259&lt;10000,"LOSS")</f>
        <v>PROFIT</v>
      </c>
      <c r="V259" s="2">
        <f t="shared" ref="V259:V322" si="4">MONTH(B259)</f>
        <v>1</v>
      </c>
    </row>
    <row r="260" spans="1:22" x14ac:dyDescent="0.25">
      <c r="A260" s="2">
        <v>2259</v>
      </c>
      <c r="B260" s="2" t="s">
        <v>67</v>
      </c>
      <c r="C260" s="2" t="s">
        <v>72</v>
      </c>
      <c r="D260" s="2" t="s">
        <v>22</v>
      </c>
      <c r="E260" s="2" t="s">
        <v>33</v>
      </c>
      <c r="F260" s="2" t="s">
        <v>34</v>
      </c>
      <c r="G260" s="2" t="s">
        <v>35</v>
      </c>
      <c r="H260" s="2" t="s">
        <v>42</v>
      </c>
      <c r="I260" s="2">
        <v>3</v>
      </c>
      <c r="J260" s="2">
        <v>20809</v>
      </c>
      <c r="K260" s="2">
        <v>9724.8700000000008</v>
      </c>
      <c r="L260" s="2">
        <v>6242.7</v>
      </c>
      <c r="M260" s="2">
        <v>377</v>
      </c>
      <c r="N260" s="2">
        <v>59321.829999999987</v>
      </c>
      <c r="O260" s="2" t="s">
        <v>62</v>
      </c>
      <c r="P260" s="2">
        <v>12392</v>
      </c>
      <c r="Q260" s="2" t="s">
        <v>63</v>
      </c>
      <c r="R260" s="2" t="s">
        <v>44</v>
      </c>
      <c r="S260" s="2">
        <v>10</v>
      </c>
      <c r="T260" s="2">
        <v>1</v>
      </c>
      <c r="U260" s="2" t="str" cm="1">
        <f t="array" ref="U260">_xlfn.IFS(N260&gt;200000,"PEAK SALES",N260&gt;100000,"GOOD SALES",N260&gt;50000,"AVERAGE SALES",N260&lt;50000,"PROFIT",N260&lt;10000,"LOSS")</f>
        <v>AVERAGE SALES</v>
      </c>
      <c r="V260" s="2">
        <f t="shared" si="4"/>
        <v>4</v>
      </c>
    </row>
    <row r="261" spans="1:22" x14ac:dyDescent="0.25">
      <c r="A261" s="2">
        <v>2260</v>
      </c>
      <c r="B261" s="2" t="s">
        <v>113</v>
      </c>
      <c r="C261" s="2" t="s">
        <v>65</v>
      </c>
      <c r="D261" s="2" t="s">
        <v>32</v>
      </c>
      <c r="E261" s="2" t="s">
        <v>79</v>
      </c>
      <c r="F261" s="2" t="s">
        <v>34</v>
      </c>
      <c r="G261" s="2" t="s">
        <v>41</v>
      </c>
      <c r="H261" s="2" t="s">
        <v>26</v>
      </c>
      <c r="I261" s="2">
        <v>4</v>
      </c>
      <c r="J261" s="2">
        <v>17168</v>
      </c>
      <c r="K261" s="2">
        <v>4880.6000000000004</v>
      </c>
      <c r="L261" s="2">
        <v>6867.2</v>
      </c>
      <c r="M261" s="2">
        <v>237</v>
      </c>
      <c r="N261" s="2">
        <v>70895.600000000006</v>
      </c>
      <c r="O261" s="2" t="s">
        <v>62</v>
      </c>
      <c r="P261" s="2">
        <v>18727</v>
      </c>
      <c r="Q261" s="2" t="s">
        <v>52</v>
      </c>
      <c r="R261" s="2" t="s">
        <v>29</v>
      </c>
      <c r="S261" s="2">
        <v>10</v>
      </c>
      <c r="T261" s="2">
        <v>4</v>
      </c>
      <c r="U261" s="2" t="str" cm="1">
        <f t="array" ref="U261">_xlfn.IFS(N261&gt;200000,"PEAK SALES",N261&gt;100000,"GOOD SALES",N261&gt;50000,"AVERAGE SALES",N261&lt;50000,"PROFIT",N261&lt;10000,"LOSS")</f>
        <v>AVERAGE SALES</v>
      </c>
      <c r="V261" s="2">
        <f t="shared" si="4"/>
        <v>4</v>
      </c>
    </row>
    <row r="262" spans="1:22" x14ac:dyDescent="0.25">
      <c r="A262" s="2">
        <v>2261</v>
      </c>
      <c r="B262" s="2" t="s">
        <v>88</v>
      </c>
      <c r="C262" s="2" t="s">
        <v>68</v>
      </c>
      <c r="D262" s="2" t="s">
        <v>22</v>
      </c>
      <c r="E262" s="2" t="s">
        <v>56</v>
      </c>
      <c r="F262" s="2" t="s">
        <v>48</v>
      </c>
      <c r="G262" s="2" t="s">
        <v>77</v>
      </c>
      <c r="H262" s="2" t="s">
        <v>42</v>
      </c>
      <c r="I262" s="2">
        <v>3</v>
      </c>
      <c r="J262" s="2">
        <v>14962</v>
      </c>
      <c r="K262" s="2">
        <v>8216.98</v>
      </c>
      <c r="L262" s="2">
        <v>4488.6000000000004</v>
      </c>
      <c r="M262" s="2">
        <v>335</v>
      </c>
      <c r="N262" s="2">
        <v>41492.620000000003</v>
      </c>
      <c r="O262" s="2" t="s">
        <v>62</v>
      </c>
      <c r="P262" s="2">
        <v>5569</v>
      </c>
      <c r="Q262" s="2" t="s">
        <v>52</v>
      </c>
      <c r="R262" s="2" t="s">
        <v>29</v>
      </c>
      <c r="S262" s="2">
        <v>1</v>
      </c>
      <c r="T262" s="2">
        <v>1</v>
      </c>
      <c r="U262" s="2" t="str" cm="1">
        <f t="array" ref="U262">_xlfn.IFS(N262&gt;200000,"PEAK SALES",N262&gt;100000,"GOOD SALES",N262&gt;50000,"AVERAGE SALES",N262&lt;50000,"PROFIT",N262&lt;10000,"LOSS")</f>
        <v>PROFIT</v>
      </c>
      <c r="V262" s="2">
        <f t="shared" si="4"/>
        <v>3</v>
      </c>
    </row>
    <row r="263" spans="1:22" x14ac:dyDescent="0.25">
      <c r="A263" s="2">
        <v>2262</v>
      </c>
      <c r="B263" s="2" t="s">
        <v>85</v>
      </c>
      <c r="C263" s="2" t="s">
        <v>31</v>
      </c>
      <c r="D263" s="2" t="s">
        <v>32</v>
      </c>
      <c r="E263" s="2" t="s">
        <v>33</v>
      </c>
      <c r="F263" s="2" t="s">
        <v>48</v>
      </c>
      <c r="G263" s="2" t="s">
        <v>77</v>
      </c>
      <c r="H263" s="2" t="s">
        <v>36</v>
      </c>
      <c r="I263" s="2">
        <v>2</v>
      </c>
      <c r="J263" s="2">
        <v>48697</v>
      </c>
      <c r="K263" s="2">
        <v>10957.9</v>
      </c>
      <c r="L263" s="2">
        <v>9739.4</v>
      </c>
      <c r="M263" s="2">
        <v>200</v>
      </c>
      <c r="N263" s="2">
        <v>96375.5</v>
      </c>
      <c r="O263" s="2" t="s">
        <v>50</v>
      </c>
      <c r="P263" s="2">
        <v>20449</v>
      </c>
      <c r="Q263" s="2" t="s">
        <v>28</v>
      </c>
      <c r="R263" s="2" t="s">
        <v>44</v>
      </c>
      <c r="S263" s="2">
        <v>5</v>
      </c>
      <c r="T263" s="2">
        <v>5</v>
      </c>
      <c r="U263" s="2" t="str" cm="1">
        <f t="array" ref="U263">_xlfn.IFS(N263&gt;200000,"PEAK SALES",N263&gt;100000,"GOOD SALES",N263&gt;50000,"AVERAGE SALES",N263&lt;50000,"PROFIT",N263&lt;10000,"LOSS")</f>
        <v>AVERAGE SALES</v>
      </c>
      <c r="V263" s="2">
        <f t="shared" si="4"/>
        <v>1</v>
      </c>
    </row>
    <row r="264" spans="1:22" x14ac:dyDescent="0.25">
      <c r="A264" s="2">
        <v>2263</v>
      </c>
      <c r="B264" s="2" t="s">
        <v>112</v>
      </c>
      <c r="C264" s="2" t="s">
        <v>72</v>
      </c>
      <c r="D264" s="2" t="s">
        <v>22</v>
      </c>
      <c r="E264" s="2" t="s">
        <v>54</v>
      </c>
      <c r="F264" s="2" t="s">
        <v>48</v>
      </c>
      <c r="G264" s="2" t="s">
        <v>66</v>
      </c>
      <c r="H264" s="2" t="s">
        <v>26</v>
      </c>
      <c r="I264" s="2">
        <v>5</v>
      </c>
      <c r="J264" s="2">
        <v>38042</v>
      </c>
      <c r="K264" s="2">
        <v>30732.7</v>
      </c>
      <c r="L264" s="2">
        <v>19021</v>
      </c>
      <c r="M264" s="2">
        <v>176</v>
      </c>
      <c r="N264" s="2">
        <v>178674.3</v>
      </c>
      <c r="O264" s="2" t="s">
        <v>27</v>
      </c>
      <c r="P264" s="2">
        <v>29915</v>
      </c>
      <c r="Q264" s="2" t="s">
        <v>52</v>
      </c>
      <c r="R264" s="2" t="s">
        <v>37</v>
      </c>
      <c r="S264" s="2">
        <v>8</v>
      </c>
      <c r="T264" s="2">
        <v>4</v>
      </c>
      <c r="U264" s="2" t="str" cm="1">
        <f t="array" ref="U264">_xlfn.IFS(N264&gt;200000,"PEAK SALES",N264&gt;100000,"GOOD SALES",N264&gt;50000,"AVERAGE SALES",N264&lt;50000,"PROFIT",N264&lt;10000,"LOSS")</f>
        <v>GOOD SALES</v>
      </c>
      <c r="V264" s="2">
        <f t="shared" si="4"/>
        <v>1</v>
      </c>
    </row>
    <row r="265" spans="1:22" x14ac:dyDescent="0.25">
      <c r="A265" s="2">
        <v>2264</v>
      </c>
      <c r="B265" s="2" t="s">
        <v>162</v>
      </c>
      <c r="C265" s="2" t="s">
        <v>58</v>
      </c>
      <c r="D265" s="2" t="s">
        <v>32</v>
      </c>
      <c r="E265" s="2" t="s">
        <v>23</v>
      </c>
      <c r="F265" s="2" t="s">
        <v>24</v>
      </c>
      <c r="G265" s="2" t="s">
        <v>25</v>
      </c>
      <c r="H265" s="2" t="s">
        <v>61</v>
      </c>
      <c r="I265" s="2">
        <v>1</v>
      </c>
      <c r="J265" s="2">
        <v>29180</v>
      </c>
      <c r="K265" s="2">
        <v>2043.06</v>
      </c>
      <c r="L265" s="2">
        <v>2918</v>
      </c>
      <c r="M265" s="2">
        <v>331</v>
      </c>
      <c r="N265" s="2">
        <v>30385.94</v>
      </c>
      <c r="O265" s="2" t="s">
        <v>43</v>
      </c>
      <c r="P265" s="2">
        <v>3313</v>
      </c>
      <c r="Q265" s="2" t="s">
        <v>63</v>
      </c>
      <c r="R265" s="2" t="s">
        <v>29</v>
      </c>
      <c r="S265" s="2">
        <v>3</v>
      </c>
      <c r="T265" s="2">
        <v>2</v>
      </c>
      <c r="U265" s="2" t="str" cm="1">
        <f t="array" ref="U265">_xlfn.IFS(N265&gt;200000,"PEAK SALES",N265&gt;100000,"GOOD SALES",N265&gt;50000,"AVERAGE SALES",N265&lt;50000,"PROFIT",N265&lt;10000,"LOSS")</f>
        <v>PROFIT</v>
      </c>
      <c r="V265" s="2">
        <f t="shared" si="4"/>
        <v>4</v>
      </c>
    </row>
    <row r="266" spans="1:22" x14ac:dyDescent="0.25">
      <c r="A266" s="2">
        <v>2265</v>
      </c>
      <c r="B266" s="2" t="s">
        <v>115</v>
      </c>
      <c r="C266" s="2" t="s">
        <v>72</v>
      </c>
      <c r="D266" s="2" t="s">
        <v>22</v>
      </c>
      <c r="E266" s="2" t="s">
        <v>103</v>
      </c>
      <c r="F266" s="2" t="s">
        <v>24</v>
      </c>
      <c r="G266" s="2" t="s">
        <v>94</v>
      </c>
      <c r="H266" s="2" t="s">
        <v>26</v>
      </c>
      <c r="I266" s="2">
        <v>2</v>
      </c>
      <c r="J266" s="2">
        <v>58917</v>
      </c>
      <c r="K266" s="2">
        <v>12918.59</v>
      </c>
      <c r="L266" s="2">
        <v>11783.4</v>
      </c>
      <c r="M266" s="2">
        <v>234</v>
      </c>
      <c r="N266" s="2">
        <v>116932.81</v>
      </c>
      <c r="O266" s="2" t="s">
        <v>43</v>
      </c>
      <c r="P266" s="2">
        <v>16814</v>
      </c>
      <c r="Q266" s="2" t="s">
        <v>63</v>
      </c>
      <c r="R266" s="2" t="s">
        <v>44</v>
      </c>
      <c r="S266" s="2">
        <v>7</v>
      </c>
      <c r="T266" s="2">
        <v>1</v>
      </c>
      <c r="U266" s="2" t="str" cm="1">
        <f t="array" ref="U266">_xlfn.IFS(N266&gt;200000,"PEAK SALES",N266&gt;100000,"GOOD SALES",N266&gt;50000,"AVERAGE SALES",N266&lt;50000,"PROFIT",N266&lt;10000,"LOSS")</f>
        <v>GOOD SALES</v>
      </c>
      <c r="V266" s="2">
        <f t="shared" si="4"/>
        <v>1</v>
      </c>
    </row>
    <row r="267" spans="1:22" x14ac:dyDescent="0.25">
      <c r="A267" s="2">
        <v>2266</v>
      </c>
      <c r="B267" s="2" t="s">
        <v>133</v>
      </c>
      <c r="C267" s="2" t="s">
        <v>87</v>
      </c>
      <c r="D267" s="2" t="s">
        <v>32</v>
      </c>
      <c r="E267" s="2" t="s">
        <v>40</v>
      </c>
      <c r="F267" s="2" t="s">
        <v>48</v>
      </c>
      <c r="G267" s="2" t="s">
        <v>49</v>
      </c>
      <c r="H267" s="2" t="s">
        <v>26</v>
      </c>
      <c r="I267" s="2">
        <v>3</v>
      </c>
      <c r="J267" s="2">
        <v>30723</v>
      </c>
      <c r="K267" s="2">
        <v>11357.04</v>
      </c>
      <c r="L267" s="2">
        <v>9216.9</v>
      </c>
      <c r="M267" s="2">
        <v>107</v>
      </c>
      <c r="N267" s="2">
        <v>90135.859999999986</v>
      </c>
      <c r="O267" s="2" t="s">
        <v>27</v>
      </c>
      <c r="P267" s="2">
        <v>20153</v>
      </c>
      <c r="Q267" s="2" t="s">
        <v>28</v>
      </c>
      <c r="R267" s="2" t="s">
        <v>37</v>
      </c>
      <c r="S267" s="2">
        <v>1</v>
      </c>
      <c r="T267" s="2">
        <v>5</v>
      </c>
      <c r="U267" s="2" t="str" cm="1">
        <f t="array" ref="U267">_xlfn.IFS(N267&gt;200000,"PEAK SALES",N267&gt;100000,"GOOD SALES",N267&gt;50000,"AVERAGE SALES",N267&lt;50000,"PROFIT",N267&lt;10000,"LOSS")</f>
        <v>AVERAGE SALES</v>
      </c>
      <c r="V267" s="2">
        <f t="shared" si="4"/>
        <v>2</v>
      </c>
    </row>
    <row r="268" spans="1:22" x14ac:dyDescent="0.25">
      <c r="A268" s="2">
        <v>2267</v>
      </c>
      <c r="B268" s="2" t="s">
        <v>95</v>
      </c>
      <c r="C268" s="2" t="s">
        <v>68</v>
      </c>
      <c r="D268" s="2" t="s">
        <v>73</v>
      </c>
      <c r="E268" s="2" t="s">
        <v>47</v>
      </c>
      <c r="F268" s="2" t="s">
        <v>24</v>
      </c>
      <c r="G268" s="2" t="s">
        <v>25</v>
      </c>
      <c r="H268" s="2" t="s">
        <v>61</v>
      </c>
      <c r="I268" s="2">
        <v>3</v>
      </c>
      <c r="J268" s="2">
        <v>19883</v>
      </c>
      <c r="K268" s="2">
        <v>8839.4599999999991</v>
      </c>
      <c r="L268" s="2">
        <v>5964.9</v>
      </c>
      <c r="M268" s="2">
        <v>131</v>
      </c>
      <c r="N268" s="2">
        <v>56905.440000000002</v>
      </c>
      <c r="O268" s="2" t="s">
        <v>62</v>
      </c>
      <c r="P268" s="2">
        <v>8999</v>
      </c>
      <c r="Q268" s="2" t="s">
        <v>52</v>
      </c>
      <c r="R268" s="2" t="s">
        <v>29</v>
      </c>
      <c r="S268" s="2">
        <v>6</v>
      </c>
      <c r="T268" s="2">
        <v>1</v>
      </c>
      <c r="U268" s="2" t="str" cm="1">
        <f t="array" ref="U268">_xlfn.IFS(N268&gt;200000,"PEAK SALES",N268&gt;100000,"GOOD SALES",N268&gt;50000,"AVERAGE SALES",N268&lt;50000,"PROFIT",N268&lt;10000,"LOSS")</f>
        <v>AVERAGE SALES</v>
      </c>
      <c r="V268" s="2">
        <f t="shared" si="4"/>
        <v>4</v>
      </c>
    </row>
    <row r="269" spans="1:22" x14ac:dyDescent="0.25">
      <c r="A269" s="2">
        <v>2268</v>
      </c>
      <c r="B269" s="2" t="s">
        <v>110</v>
      </c>
      <c r="C269" s="2" t="s">
        <v>39</v>
      </c>
      <c r="D269" s="2" t="s">
        <v>22</v>
      </c>
      <c r="E269" s="2" t="s">
        <v>23</v>
      </c>
      <c r="F269" s="2" t="s">
        <v>24</v>
      </c>
      <c r="G269" s="2" t="s">
        <v>94</v>
      </c>
      <c r="H269" s="2" t="s">
        <v>61</v>
      </c>
      <c r="I269" s="2">
        <v>5</v>
      </c>
      <c r="J269" s="2">
        <v>31680</v>
      </c>
      <c r="K269" s="2">
        <v>27046.37</v>
      </c>
      <c r="L269" s="2">
        <v>15840</v>
      </c>
      <c r="M269" s="2">
        <v>129</v>
      </c>
      <c r="N269" s="2">
        <v>147322.63</v>
      </c>
      <c r="O269" s="2" t="s">
        <v>62</v>
      </c>
      <c r="P269" s="2">
        <v>28101</v>
      </c>
      <c r="Q269" s="2" t="s">
        <v>63</v>
      </c>
      <c r="R269" s="2" t="s">
        <v>44</v>
      </c>
      <c r="S269" s="2">
        <v>1</v>
      </c>
      <c r="T269" s="2">
        <v>5</v>
      </c>
      <c r="U269" s="2" t="str" cm="1">
        <f t="array" ref="U269">_xlfn.IFS(N269&gt;200000,"PEAK SALES",N269&gt;100000,"GOOD SALES",N269&gt;50000,"AVERAGE SALES",N269&lt;50000,"PROFIT",N269&lt;10000,"LOSS")</f>
        <v>GOOD SALES</v>
      </c>
      <c r="V269" s="2">
        <f t="shared" si="4"/>
        <v>2</v>
      </c>
    </row>
    <row r="270" spans="1:22" x14ac:dyDescent="0.25">
      <c r="A270" s="2">
        <v>2269</v>
      </c>
      <c r="B270" s="2" t="s">
        <v>173</v>
      </c>
      <c r="C270" s="2" t="s">
        <v>58</v>
      </c>
      <c r="D270" s="2" t="s">
        <v>73</v>
      </c>
      <c r="E270" s="2" t="s">
        <v>33</v>
      </c>
      <c r="F270" s="2" t="s">
        <v>24</v>
      </c>
      <c r="G270" s="2" t="s">
        <v>25</v>
      </c>
      <c r="H270" s="2" t="s">
        <v>26</v>
      </c>
      <c r="I270" s="2">
        <v>3</v>
      </c>
      <c r="J270" s="2">
        <v>10289</v>
      </c>
      <c r="K270" s="2">
        <v>3153.44</v>
      </c>
      <c r="L270" s="2">
        <v>3086.7</v>
      </c>
      <c r="M270" s="2">
        <v>181</v>
      </c>
      <c r="N270" s="2">
        <v>30981.26</v>
      </c>
      <c r="O270" s="2" t="s">
        <v>50</v>
      </c>
      <c r="P270" s="2">
        <v>5503</v>
      </c>
      <c r="Q270" s="2" t="s">
        <v>28</v>
      </c>
      <c r="R270" s="2" t="s">
        <v>29</v>
      </c>
      <c r="S270" s="2">
        <v>10</v>
      </c>
      <c r="T270" s="2">
        <v>1</v>
      </c>
      <c r="U270" s="2" t="str" cm="1">
        <f t="array" ref="U270">_xlfn.IFS(N270&gt;200000,"PEAK SALES",N270&gt;100000,"GOOD SALES",N270&gt;50000,"AVERAGE SALES",N270&lt;50000,"PROFIT",N270&lt;10000,"LOSS")</f>
        <v>PROFIT</v>
      </c>
      <c r="V270" s="2">
        <f t="shared" si="4"/>
        <v>2</v>
      </c>
    </row>
    <row r="271" spans="1:22" x14ac:dyDescent="0.25">
      <c r="A271" s="2">
        <v>2270</v>
      </c>
      <c r="B271" s="2" t="s">
        <v>96</v>
      </c>
      <c r="C271" s="2" t="s">
        <v>58</v>
      </c>
      <c r="D271" s="2" t="s">
        <v>22</v>
      </c>
      <c r="E271" s="2" t="s">
        <v>103</v>
      </c>
      <c r="F271" s="2" t="s">
        <v>24</v>
      </c>
      <c r="G271" s="2" t="s">
        <v>25</v>
      </c>
      <c r="H271" s="2" t="s">
        <v>26</v>
      </c>
      <c r="I271" s="2">
        <v>3</v>
      </c>
      <c r="J271" s="2">
        <v>33568</v>
      </c>
      <c r="K271" s="2">
        <v>13894.18</v>
      </c>
      <c r="L271" s="2">
        <v>10070.4</v>
      </c>
      <c r="M271" s="2">
        <v>351</v>
      </c>
      <c r="N271" s="2">
        <v>97231.22</v>
      </c>
      <c r="O271" s="2" t="s">
        <v>50</v>
      </c>
      <c r="P271" s="2">
        <v>10004</v>
      </c>
      <c r="Q271" s="2" t="s">
        <v>52</v>
      </c>
      <c r="R271" s="2" t="s">
        <v>44</v>
      </c>
      <c r="S271" s="2">
        <v>6</v>
      </c>
      <c r="T271" s="2">
        <v>4</v>
      </c>
      <c r="U271" s="2" t="str" cm="1">
        <f t="array" ref="U271">_xlfn.IFS(N271&gt;200000,"PEAK SALES",N271&gt;100000,"GOOD SALES",N271&gt;50000,"AVERAGE SALES",N271&lt;50000,"PROFIT",N271&lt;10000,"LOSS")</f>
        <v>AVERAGE SALES</v>
      </c>
      <c r="V271" s="2">
        <f t="shared" si="4"/>
        <v>4</v>
      </c>
    </row>
    <row r="272" spans="1:22" x14ac:dyDescent="0.25">
      <c r="A272" s="2">
        <v>2271</v>
      </c>
      <c r="B272" s="2" t="s">
        <v>88</v>
      </c>
      <c r="C272" s="2" t="s">
        <v>31</v>
      </c>
      <c r="D272" s="2" t="s">
        <v>59</v>
      </c>
      <c r="E272" s="2" t="s">
        <v>103</v>
      </c>
      <c r="F272" s="2" t="s">
        <v>34</v>
      </c>
      <c r="G272" s="2" t="s">
        <v>35</v>
      </c>
      <c r="H272" s="2" t="s">
        <v>26</v>
      </c>
      <c r="I272" s="2">
        <v>1</v>
      </c>
      <c r="J272" s="2">
        <v>24461</v>
      </c>
      <c r="K272" s="2">
        <v>3155.21</v>
      </c>
      <c r="L272" s="2">
        <v>2446.1</v>
      </c>
      <c r="M272" s="2">
        <v>268</v>
      </c>
      <c r="N272" s="2">
        <v>24019.89</v>
      </c>
      <c r="O272" s="2" t="s">
        <v>43</v>
      </c>
      <c r="P272" s="2">
        <v>6386</v>
      </c>
      <c r="Q272" s="2" t="s">
        <v>63</v>
      </c>
      <c r="R272" s="2" t="s">
        <v>37</v>
      </c>
      <c r="S272" s="2">
        <v>1</v>
      </c>
      <c r="T272" s="2">
        <v>2</v>
      </c>
      <c r="U272" s="2" t="str" cm="1">
        <f t="array" ref="U272">_xlfn.IFS(N272&gt;200000,"PEAK SALES",N272&gt;100000,"GOOD SALES",N272&gt;50000,"AVERAGE SALES",N272&lt;50000,"PROFIT",N272&lt;10000,"LOSS")</f>
        <v>PROFIT</v>
      </c>
      <c r="V272" s="2">
        <f t="shared" si="4"/>
        <v>3</v>
      </c>
    </row>
    <row r="273" spans="1:22" x14ac:dyDescent="0.25">
      <c r="A273" s="2">
        <v>2272</v>
      </c>
      <c r="B273" s="2" t="s">
        <v>88</v>
      </c>
      <c r="C273" s="2" t="s">
        <v>75</v>
      </c>
      <c r="D273" s="2" t="s">
        <v>73</v>
      </c>
      <c r="E273" s="2" t="s">
        <v>79</v>
      </c>
      <c r="F273" s="2" t="s">
        <v>34</v>
      </c>
      <c r="G273" s="2" t="s">
        <v>80</v>
      </c>
      <c r="H273" s="2" t="s">
        <v>26</v>
      </c>
      <c r="I273" s="2">
        <v>1</v>
      </c>
      <c r="J273" s="2">
        <v>52937</v>
      </c>
      <c r="K273" s="2">
        <v>7267.21</v>
      </c>
      <c r="L273" s="2">
        <v>5293.7</v>
      </c>
      <c r="M273" s="2">
        <v>432</v>
      </c>
      <c r="N273" s="2">
        <v>51395.49</v>
      </c>
      <c r="O273" s="2" t="s">
        <v>50</v>
      </c>
      <c r="P273" s="2">
        <v>14639</v>
      </c>
      <c r="Q273" s="2" t="s">
        <v>63</v>
      </c>
      <c r="R273" s="2" t="s">
        <v>29</v>
      </c>
      <c r="S273" s="2">
        <v>7</v>
      </c>
      <c r="T273" s="2">
        <v>5</v>
      </c>
      <c r="U273" s="2" t="str" cm="1">
        <f t="array" ref="U273">_xlfn.IFS(N273&gt;200000,"PEAK SALES",N273&gt;100000,"GOOD SALES",N273&gt;50000,"AVERAGE SALES",N273&lt;50000,"PROFIT",N273&lt;10000,"LOSS")</f>
        <v>AVERAGE SALES</v>
      </c>
      <c r="V273" s="2">
        <f t="shared" si="4"/>
        <v>3</v>
      </c>
    </row>
    <row r="274" spans="1:22" x14ac:dyDescent="0.25">
      <c r="A274" s="2">
        <v>2273</v>
      </c>
      <c r="B274" s="2" t="s">
        <v>122</v>
      </c>
      <c r="C274" s="2" t="s">
        <v>65</v>
      </c>
      <c r="D274" s="2" t="s">
        <v>22</v>
      </c>
      <c r="E274" s="2" t="s">
        <v>79</v>
      </c>
      <c r="F274" s="2" t="s">
        <v>34</v>
      </c>
      <c r="G274" s="2" t="s">
        <v>41</v>
      </c>
      <c r="H274" s="2" t="s">
        <v>42</v>
      </c>
      <c r="I274" s="2">
        <v>1</v>
      </c>
      <c r="J274" s="2">
        <v>38116</v>
      </c>
      <c r="K274" s="2">
        <v>3018.51</v>
      </c>
      <c r="L274" s="2">
        <v>3811.6</v>
      </c>
      <c r="M274" s="2">
        <v>409</v>
      </c>
      <c r="N274" s="2">
        <v>39318.089999999997</v>
      </c>
      <c r="O274" s="2" t="s">
        <v>50</v>
      </c>
      <c r="P274" s="2">
        <v>5415</v>
      </c>
      <c r="Q274" s="2" t="s">
        <v>63</v>
      </c>
      <c r="R274" s="2" t="s">
        <v>44</v>
      </c>
      <c r="S274" s="2">
        <v>10</v>
      </c>
      <c r="T274" s="2">
        <v>5</v>
      </c>
      <c r="U274" s="2" t="str" cm="1">
        <f t="array" ref="U274">_xlfn.IFS(N274&gt;200000,"PEAK SALES",N274&gt;100000,"GOOD SALES",N274&gt;50000,"AVERAGE SALES",N274&lt;50000,"PROFIT",N274&lt;10000,"LOSS")</f>
        <v>PROFIT</v>
      </c>
      <c r="V274" s="2">
        <f t="shared" si="4"/>
        <v>4</v>
      </c>
    </row>
    <row r="275" spans="1:22" x14ac:dyDescent="0.25">
      <c r="A275" s="2">
        <v>2274</v>
      </c>
      <c r="B275" s="2" t="s">
        <v>136</v>
      </c>
      <c r="C275" s="2" t="s">
        <v>58</v>
      </c>
      <c r="D275" s="2" t="s">
        <v>32</v>
      </c>
      <c r="E275" s="2" t="s">
        <v>40</v>
      </c>
      <c r="F275" s="2" t="s">
        <v>48</v>
      </c>
      <c r="G275" s="2" t="s">
        <v>66</v>
      </c>
      <c r="H275" s="2" t="s">
        <v>61</v>
      </c>
      <c r="I275" s="2">
        <v>2</v>
      </c>
      <c r="J275" s="2">
        <v>25790</v>
      </c>
      <c r="K275" s="2">
        <v>6900.6</v>
      </c>
      <c r="L275" s="2">
        <v>5158</v>
      </c>
      <c r="M275" s="2">
        <v>145</v>
      </c>
      <c r="N275" s="2">
        <v>49982.400000000001</v>
      </c>
      <c r="O275" s="2" t="s">
        <v>62</v>
      </c>
      <c r="P275" s="2">
        <v>12254</v>
      </c>
      <c r="Q275" s="2" t="s">
        <v>28</v>
      </c>
      <c r="R275" s="2" t="s">
        <v>29</v>
      </c>
      <c r="S275" s="2">
        <v>10</v>
      </c>
      <c r="T275" s="2">
        <v>4</v>
      </c>
      <c r="U275" s="2" t="str" cm="1">
        <f t="array" ref="U275">_xlfn.IFS(N275&gt;200000,"PEAK SALES",N275&gt;100000,"GOOD SALES",N275&gt;50000,"AVERAGE SALES",N275&lt;50000,"PROFIT",N275&lt;10000,"LOSS")</f>
        <v>PROFIT</v>
      </c>
      <c r="V275" s="2">
        <f t="shared" si="4"/>
        <v>2</v>
      </c>
    </row>
    <row r="276" spans="1:22" x14ac:dyDescent="0.25">
      <c r="A276" s="2">
        <v>2275</v>
      </c>
      <c r="B276" s="2" t="s">
        <v>146</v>
      </c>
      <c r="C276" s="2" t="s">
        <v>31</v>
      </c>
      <c r="D276" s="2" t="s">
        <v>59</v>
      </c>
      <c r="E276" s="2" t="s">
        <v>56</v>
      </c>
      <c r="F276" s="2" t="s">
        <v>24</v>
      </c>
      <c r="G276" s="2" t="s">
        <v>25</v>
      </c>
      <c r="H276" s="2" t="s">
        <v>36</v>
      </c>
      <c r="I276" s="2">
        <v>2</v>
      </c>
      <c r="J276" s="2">
        <v>37762</v>
      </c>
      <c r="K276" s="2">
        <v>9708.32</v>
      </c>
      <c r="L276" s="2">
        <v>7552.4</v>
      </c>
      <c r="M276" s="2">
        <v>391</v>
      </c>
      <c r="N276" s="2">
        <v>73759.079999999987</v>
      </c>
      <c r="O276" s="2" t="s">
        <v>27</v>
      </c>
      <c r="P276" s="2">
        <v>19623</v>
      </c>
      <c r="Q276" s="2" t="s">
        <v>63</v>
      </c>
      <c r="R276" s="2" t="s">
        <v>37</v>
      </c>
      <c r="S276" s="2">
        <v>1</v>
      </c>
      <c r="T276" s="2">
        <v>4</v>
      </c>
      <c r="U276" s="2" t="str" cm="1">
        <f t="array" ref="U276">_xlfn.IFS(N276&gt;200000,"PEAK SALES",N276&gt;100000,"GOOD SALES",N276&gt;50000,"AVERAGE SALES",N276&lt;50000,"PROFIT",N276&lt;10000,"LOSS")</f>
        <v>AVERAGE SALES</v>
      </c>
      <c r="V276" s="2">
        <f t="shared" si="4"/>
        <v>2</v>
      </c>
    </row>
    <row r="277" spans="1:22" x14ac:dyDescent="0.25">
      <c r="A277" s="2">
        <v>2276</v>
      </c>
      <c r="B277" s="2" t="s">
        <v>174</v>
      </c>
      <c r="C277" s="2" t="s">
        <v>72</v>
      </c>
      <c r="D277" s="2" t="s">
        <v>32</v>
      </c>
      <c r="E277" s="2" t="s">
        <v>33</v>
      </c>
      <c r="F277" s="2" t="s">
        <v>34</v>
      </c>
      <c r="G277" s="2" t="s">
        <v>41</v>
      </c>
      <c r="H277" s="2" t="s">
        <v>36</v>
      </c>
      <c r="I277" s="2">
        <v>4</v>
      </c>
      <c r="J277" s="2">
        <v>55408</v>
      </c>
      <c r="K277" s="2">
        <v>35674.01</v>
      </c>
      <c r="L277" s="2">
        <v>22163.200000000001</v>
      </c>
      <c r="M277" s="2">
        <v>250</v>
      </c>
      <c r="N277" s="2">
        <v>208371.19</v>
      </c>
      <c r="O277" s="2" t="s">
        <v>62</v>
      </c>
      <c r="P277" s="2">
        <v>21886</v>
      </c>
      <c r="Q277" s="2" t="s">
        <v>52</v>
      </c>
      <c r="R277" s="2" t="s">
        <v>44</v>
      </c>
      <c r="S277" s="2">
        <v>4</v>
      </c>
      <c r="T277" s="2">
        <v>4</v>
      </c>
      <c r="U277" s="2" t="str" cm="1">
        <f t="array" ref="U277">_xlfn.IFS(N277&gt;200000,"PEAK SALES",N277&gt;100000,"GOOD SALES",N277&gt;50000,"AVERAGE SALES",N277&lt;50000,"PROFIT",N277&lt;10000,"LOSS")</f>
        <v>PEAK SALES</v>
      </c>
      <c r="V277" s="2">
        <f t="shared" si="4"/>
        <v>2</v>
      </c>
    </row>
    <row r="278" spans="1:22" x14ac:dyDescent="0.25">
      <c r="A278" s="2">
        <v>2277</v>
      </c>
      <c r="B278" s="2" t="s">
        <v>156</v>
      </c>
      <c r="C278" s="2" t="s">
        <v>31</v>
      </c>
      <c r="D278" s="2" t="s">
        <v>73</v>
      </c>
      <c r="E278" s="2" t="s">
        <v>23</v>
      </c>
      <c r="F278" s="2" t="s">
        <v>24</v>
      </c>
      <c r="G278" s="2" t="s">
        <v>69</v>
      </c>
      <c r="H278" s="2" t="s">
        <v>42</v>
      </c>
      <c r="I278" s="2">
        <v>4</v>
      </c>
      <c r="J278" s="2">
        <v>54801</v>
      </c>
      <c r="K278" s="2">
        <v>14649.4</v>
      </c>
      <c r="L278" s="2">
        <v>21920.400000000001</v>
      </c>
      <c r="M278" s="2">
        <v>219</v>
      </c>
      <c r="N278" s="2">
        <v>226694</v>
      </c>
      <c r="O278" s="2" t="s">
        <v>43</v>
      </c>
      <c r="P278" s="2">
        <v>66346</v>
      </c>
      <c r="Q278" s="2" t="s">
        <v>63</v>
      </c>
      <c r="R278" s="2" t="s">
        <v>37</v>
      </c>
      <c r="S278" s="2">
        <v>10</v>
      </c>
      <c r="T278" s="2">
        <v>2</v>
      </c>
      <c r="U278" s="2" t="str" cm="1">
        <f t="array" ref="U278">_xlfn.IFS(N278&gt;200000,"PEAK SALES",N278&gt;100000,"GOOD SALES",N278&gt;50000,"AVERAGE SALES",N278&lt;50000,"PROFIT",N278&lt;10000,"LOSS")</f>
        <v>PEAK SALES</v>
      </c>
      <c r="V278" s="2">
        <f t="shared" si="4"/>
        <v>2</v>
      </c>
    </row>
    <row r="279" spans="1:22" x14ac:dyDescent="0.25">
      <c r="A279" s="2">
        <v>2278</v>
      </c>
      <c r="B279" s="2" t="s">
        <v>171</v>
      </c>
      <c r="C279" s="2" t="s">
        <v>65</v>
      </c>
      <c r="D279" s="2" t="s">
        <v>59</v>
      </c>
      <c r="E279" s="2" t="s">
        <v>23</v>
      </c>
      <c r="F279" s="2" t="s">
        <v>34</v>
      </c>
      <c r="G279" s="2" t="s">
        <v>60</v>
      </c>
      <c r="H279" s="2" t="s">
        <v>61</v>
      </c>
      <c r="I279" s="2">
        <v>5</v>
      </c>
      <c r="J279" s="2">
        <v>2485</v>
      </c>
      <c r="K279" s="2">
        <v>829.32</v>
      </c>
      <c r="L279" s="2">
        <v>1242.5</v>
      </c>
      <c r="M279" s="2">
        <v>294</v>
      </c>
      <c r="N279" s="2">
        <v>13132.18</v>
      </c>
      <c r="O279" s="2" t="s">
        <v>50</v>
      </c>
      <c r="P279" s="2">
        <v>1333</v>
      </c>
      <c r="Q279" s="2" t="s">
        <v>52</v>
      </c>
      <c r="R279" s="2" t="s">
        <v>29</v>
      </c>
      <c r="S279" s="2">
        <v>4</v>
      </c>
      <c r="T279" s="2">
        <v>4</v>
      </c>
      <c r="U279" s="2" t="str" cm="1">
        <f t="array" ref="U279">_xlfn.IFS(N279&gt;200000,"PEAK SALES",N279&gt;100000,"GOOD SALES",N279&gt;50000,"AVERAGE SALES",N279&lt;50000,"PROFIT",N279&lt;10000,"LOSS")</f>
        <v>PROFIT</v>
      </c>
      <c r="V279" s="2">
        <f t="shared" si="4"/>
        <v>4</v>
      </c>
    </row>
    <row r="280" spans="1:22" x14ac:dyDescent="0.25">
      <c r="A280" s="2">
        <v>2279</v>
      </c>
      <c r="B280" s="2" t="s">
        <v>175</v>
      </c>
      <c r="C280" s="2" t="s">
        <v>21</v>
      </c>
      <c r="D280" s="2" t="s">
        <v>73</v>
      </c>
      <c r="E280" s="2" t="s">
        <v>56</v>
      </c>
      <c r="F280" s="2" t="s">
        <v>34</v>
      </c>
      <c r="G280" s="2" t="s">
        <v>41</v>
      </c>
      <c r="H280" s="2" t="s">
        <v>26</v>
      </c>
      <c r="I280" s="2">
        <v>3</v>
      </c>
      <c r="J280" s="2">
        <v>23617</v>
      </c>
      <c r="K280" s="2">
        <v>9687.49</v>
      </c>
      <c r="L280" s="2">
        <v>7085.1</v>
      </c>
      <c r="M280" s="2">
        <v>460</v>
      </c>
      <c r="N280" s="2">
        <v>68708.61</v>
      </c>
      <c r="O280" s="2" t="s">
        <v>50</v>
      </c>
      <c r="P280" s="2">
        <v>13188</v>
      </c>
      <c r="Q280" s="2" t="s">
        <v>63</v>
      </c>
      <c r="R280" s="2" t="s">
        <v>44</v>
      </c>
      <c r="S280" s="2">
        <v>1</v>
      </c>
      <c r="T280" s="2">
        <v>4</v>
      </c>
      <c r="U280" s="2" t="str" cm="1">
        <f t="array" ref="U280">_xlfn.IFS(N280&gt;200000,"PEAK SALES",N280&gt;100000,"GOOD SALES",N280&gt;50000,"AVERAGE SALES",N280&lt;50000,"PROFIT",N280&lt;10000,"LOSS")</f>
        <v>AVERAGE SALES</v>
      </c>
      <c r="V280" s="2">
        <f t="shared" si="4"/>
        <v>2</v>
      </c>
    </row>
    <row r="281" spans="1:22" x14ac:dyDescent="0.25">
      <c r="A281" s="2">
        <v>2280</v>
      </c>
      <c r="B281" s="2" t="s">
        <v>71</v>
      </c>
      <c r="C281" s="2" t="s">
        <v>75</v>
      </c>
      <c r="D281" s="2" t="s">
        <v>59</v>
      </c>
      <c r="E281" s="2" t="s">
        <v>103</v>
      </c>
      <c r="F281" s="2" t="s">
        <v>24</v>
      </c>
      <c r="G281" s="2" t="s">
        <v>94</v>
      </c>
      <c r="H281" s="2" t="s">
        <v>36</v>
      </c>
      <c r="I281" s="2">
        <v>4</v>
      </c>
      <c r="J281" s="2">
        <v>57354</v>
      </c>
      <c r="K281" s="2">
        <v>36785.61</v>
      </c>
      <c r="L281" s="2">
        <v>22941.599999999999</v>
      </c>
      <c r="M281" s="2">
        <v>490</v>
      </c>
      <c r="N281" s="2">
        <v>216061.99</v>
      </c>
      <c r="O281" s="2" t="s">
        <v>27</v>
      </c>
      <c r="P281" s="2">
        <v>27691</v>
      </c>
      <c r="Q281" s="2" t="s">
        <v>63</v>
      </c>
      <c r="R281" s="2" t="s">
        <v>29</v>
      </c>
      <c r="S281" s="2">
        <v>3</v>
      </c>
      <c r="T281" s="2">
        <v>4</v>
      </c>
      <c r="U281" s="2" t="str" cm="1">
        <f t="array" ref="U281">_xlfn.IFS(N281&gt;200000,"PEAK SALES",N281&gt;100000,"GOOD SALES",N281&gt;50000,"AVERAGE SALES",N281&lt;50000,"PROFIT",N281&lt;10000,"LOSS")</f>
        <v>PEAK SALES</v>
      </c>
      <c r="V281" s="2">
        <f t="shared" si="4"/>
        <v>3</v>
      </c>
    </row>
    <row r="282" spans="1:22" x14ac:dyDescent="0.25">
      <c r="A282" s="2">
        <v>2281</v>
      </c>
      <c r="B282" s="2" t="s">
        <v>90</v>
      </c>
      <c r="C282" s="2" t="s">
        <v>39</v>
      </c>
      <c r="D282" s="2" t="s">
        <v>32</v>
      </c>
      <c r="E282" s="2" t="s">
        <v>79</v>
      </c>
      <c r="F282" s="2" t="s">
        <v>34</v>
      </c>
      <c r="G282" s="2" t="s">
        <v>80</v>
      </c>
      <c r="H282" s="2" t="s">
        <v>61</v>
      </c>
      <c r="I282" s="2">
        <v>1</v>
      </c>
      <c r="J282" s="2">
        <v>17032</v>
      </c>
      <c r="K282" s="2">
        <v>1582.43</v>
      </c>
      <c r="L282" s="2">
        <v>1703.2</v>
      </c>
      <c r="M282" s="2">
        <v>151</v>
      </c>
      <c r="N282" s="2">
        <v>17303.77</v>
      </c>
      <c r="O282" s="2" t="s">
        <v>62</v>
      </c>
      <c r="P282" s="2">
        <v>2098</v>
      </c>
      <c r="Q282" s="2" t="s">
        <v>63</v>
      </c>
      <c r="R282" s="2" t="s">
        <v>44</v>
      </c>
      <c r="S282" s="2">
        <v>4</v>
      </c>
      <c r="T282" s="2">
        <v>4</v>
      </c>
      <c r="U282" s="2" t="str" cm="1">
        <f t="array" ref="U282">_xlfn.IFS(N282&gt;200000,"PEAK SALES",N282&gt;100000,"GOOD SALES",N282&gt;50000,"AVERAGE SALES",N282&lt;50000,"PROFIT",N282&lt;10000,"LOSS")</f>
        <v>PROFIT</v>
      </c>
      <c r="V282" s="2">
        <f t="shared" si="4"/>
        <v>2</v>
      </c>
    </row>
    <row r="283" spans="1:22" x14ac:dyDescent="0.25">
      <c r="A283" s="2">
        <v>2282</v>
      </c>
      <c r="B283" s="2" t="s">
        <v>158</v>
      </c>
      <c r="C283" s="2" t="s">
        <v>46</v>
      </c>
      <c r="D283" s="2" t="s">
        <v>59</v>
      </c>
      <c r="E283" s="2" t="s">
        <v>33</v>
      </c>
      <c r="F283" s="2" t="s">
        <v>24</v>
      </c>
      <c r="G283" s="2" t="s">
        <v>94</v>
      </c>
      <c r="H283" s="2" t="s">
        <v>26</v>
      </c>
      <c r="I283" s="2">
        <v>3</v>
      </c>
      <c r="J283" s="2">
        <v>30388</v>
      </c>
      <c r="K283" s="2">
        <v>9240.64</v>
      </c>
      <c r="L283" s="2">
        <v>9116.4</v>
      </c>
      <c r="M283" s="2">
        <v>212</v>
      </c>
      <c r="N283" s="2">
        <v>91251.76</v>
      </c>
      <c r="O283" s="2" t="s">
        <v>50</v>
      </c>
      <c r="P283" s="2">
        <v>19516</v>
      </c>
      <c r="Q283" s="2" t="s">
        <v>63</v>
      </c>
      <c r="R283" s="2" t="s">
        <v>44</v>
      </c>
      <c r="S283" s="2">
        <v>5</v>
      </c>
      <c r="T283" s="2">
        <v>3</v>
      </c>
      <c r="U283" s="2" t="str" cm="1">
        <f t="array" ref="U283">_xlfn.IFS(N283&gt;200000,"PEAK SALES",N283&gt;100000,"GOOD SALES",N283&gt;50000,"AVERAGE SALES",N283&lt;50000,"PROFIT",N283&lt;10000,"LOSS")</f>
        <v>AVERAGE SALES</v>
      </c>
      <c r="V283" s="2">
        <f t="shared" si="4"/>
        <v>1</v>
      </c>
    </row>
    <row r="284" spans="1:22" x14ac:dyDescent="0.25">
      <c r="A284" s="2">
        <v>2283</v>
      </c>
      <c r="B284" s="2" t="s">
        <v>121</v>
      </c>
      <c r="C284" s="2" t="s">
        <v>58</v>
      </c>
      <c r="D284" s="2" t="s">
        <v>59</v>
      </c>
      <c r="E284" s="2" t="s">
        <v>103</v>
      </c>
      <c r="F284" s="2" t="s">
        <v>24</v>
      </c>
      <c r="G284" s="2" t="s">
        <v>94</v>
      </c>
      <c r="H284" s="2" t="s">
        <v>26</v>
      </c>
      <c r="I284" s="2">
        <v>3</v>
      </c>
      <c r="J284" s="2">
        <v>40316</v>
      </c>
      <c r="K284" s="2">
        <v>11192.54</v>
      </c>
      <c r="L284" s="2">
        <v>12094.8</v>
      </c>
      <c r="M284" s="2">
        <v>336</v>
      </c>
      <c r="N284" s="2">
        <v>122186.26</v>
      </c>
      <c r="O284" s="2" t="s">
        <v>43</v>
      </c>
      <c r="P284" s="2">
        <v>26392</v>
      </c>
      <c r="Q284" s="2" t="s">
        <v>28</v>
      </c>
      <c r="R284" s="2" t="s">
        <v>44</v>
      </c>
      <c r="S284" s="2">
        <v>9</v>
      </c>
      <c r="T284" s="2">
        <v>2</v>
      </c>
      <c r="U284" s="2" t="str" cm="1">
        <f t="array" ref="U284">_xlfn.IFS(N284&gt;200000,"PEAK SALES",N284&gt;100000,"GOOD SALES",N284&gt;50000,"AVERAGE SALES",N284&lt;50000,"PROFIT",N284&lt;10000,"LOSS")</f>
        <v>GOOD SALES</v>
      </c>
      <c r="V284" s="2">
        <f t="shared" si="4"/>
        <v>3</v>
      </c>
    </row>
    <row r="285" spans="1:22" x14ac:dyDescent="0.25">
      <c r="A285" s="2">
        <v>2284</v>
      </c>
      <c r="B285" s="2" t="s">
        <v>96</v>
      </c>
      <c r="C285" s="2" t="s">
        <v>87</v>
      </c>
      <c r="D285" s="2" t="s">
        <v>59</v>
      </c>
      <c r="E285" s="2" t="s">
        <v>40</v>
      </c>
      <c r="F285" s="2" t="s">
        <v>24</v>
      </c>
      <c r="G285" s="2" t="s">
        <v>94</v>
      </c>
      <c r="H285" s="2" t="s">
        <v>42</v>
      </c>
      <c r="I285" s="2">
        <v>2</v>
      </c>
      <c r="J285" s="2">
        <v>43465</v>
      </c>
      <c r="K285" s="2">
        <v>14487.95</v>
      </c>
      <c r="L285" s="2">
        <v>8693</v>
      </c>
      <c r="M285" s="2">
        <v>160</v>
      </c>
      <c r="N285" s="2">
        <v>81295.05</v>
      </c>
      <c r="O285" s="2" t="s">
        <v>50</v>
      </c>
      <c r="P285" s="2">
        <v>9515</v>
      </c>
      <c r="Q285" s="2" t="s">
        <v>63</v>
      </c>
      <c r="R285" s="2" t="s">
        <v>44</v>
      </c>
      <c r="S285" s="2">
        <v>10</v>
      </c>
      <c r="T285" s="2">
        <v>3</v>
      </c>
      <c r="U285" s="2" t="str" cm="1">
        <f t="array" ref="U285">_xlfn.IFS(N285&gt;200000,"PEAK SALES",N285&gt;100000,"GOOD SALES",N285&gt;50000,"AVERAGE SALES",N285&lt;50000,"PROFIT",N285&lt;10000,"LOSS")</f>
        <v>AVERAGE SALES</v>
      </c>
      <c r="V285" s="2">
        <f t="shared" si="4"/>
        <v>4</v>
      </c>
    </row>
    <row r="286" spans="1:22" x14ac:dyDescent="0.25">
      <c r="A286" s="2">
        <v>2285</v>
      </c>
      <c r="B286" s="2" t="s">
        <v>111</v>
      </c>
      <c r="C286" s="2" t="s">
        <v>31</v>
      </c>
      <c r="D286" s="2" t="s">
        <v>59</v>
      </c>
      <c r="E286" s="2" t="s">
        <v>40</v>
      </c>
      <c r="F286" s="2" t="s">
        <v>48</v>
      </c>
      <c r="G286" s="2" t="s">
        <v>66</v>
      </c>
      <c r="H286" s="2" t="s">
        <v>36</v>
      </c>
      <c r="I286" s="2">
        <v>1</v>
      </c>
      <c r="J286" s="2">
        <v>52307</v>
      </c>
      <c r="K286" s="2">
        <v>9895.36</v>
      </c>
      <c r="L286" s="2">
        <v>5230.7</v>
      </c>
      <c r="M286" s="2">
        <v>262</v>
      </c>
      <c r="N286" s="2">
        <v>47904.34</v>
      </c>
      <c r="O286" s="2" t="s">
        <v>27</v>
      </c>
      <c r="P286" s="2">
        <v>7015</v>
      </c>
      <c r="Q286" s="2" t="s">
        <v>63</v>
      </c>
      <c r="R286" s="2" t="s">
        <v>37</v>
      </c>
      <c r="S286" s="2">
        <v>10</v>
      </c>
      <c r="T286" s="2">
        <v>1</v>
      </c>
      <c r="U286" s="2" t="str" cm="1">
        <f t="array" ref="U286">_xlfn.IFS(N286&gt;200000,"PEAK SALES",N286&gt;100000,"GOOD SALES",N286&gt;50000,"AVERAGE SALES",N286&lt;50000,"PROFIT",N286&lt;10000,"LOSS")</f>
        <v>PROFIT</v>
      </c>
      <c r="V286" s="2">
        <f t="shared" si="4"/>
        <v>4</v>
      </c>
    </row>
    <row r="287" spans="1:22" x14ac:dyDescent="0.25">
      <c r="A287" s="2">
        <v>2286</v>
      </c>
      <c r="B287" s="2" t="s">
        <v>150</v>
      </c>
      <c r="C287" s="2" t="s">
        <v>68</v>
      </c>
      <c r="D287" s="2" t="s">
        <v>32</v>
      </c>
      <c r="E287" s="2" t="s">
        <v>23</v>
      </c>
      <c r="F287" s="2" t="s">
        <v>34</v>
      </c>
      <c r="G287" s="2" t="s">
        <v>80</v>
      </c>
      <c r="H287" s="2" t="s">
        <v>61</v>
      </c>
      <c r="I287" s="2">
        <v>4</v>
      </c>
      <c r="J287" s="2">
        <v>53261</v>
      </c>
      <c r="K287" s="2">
        <v>13668.63</v>
      </c>
      <c r="L287" s="2">
        <v>21304.400000000001</v>
      </c>
      <c r="M287" s="2">
        <v>158</v>
      </c>
      <c r="N287" s="2">
        <v>220837.77</v>
      </c>
      <c r="O287" s="2" t="s">
        <v>50</v>
      </c>
      <c r="P287" s="2">
        <v>37732</v>
      </c>
      <c r="Q287" s="2" t="s">
        <v>28</v>
      </c>
      <c r="R287" s="2" t="s">
        <v>44</v>
      </c>
      <c r="S287" s="2">
        <v>7</v>
      </c>
      <c r="T287" s="2">
        <v>5</v>
      </c>
      <c r="U287" s="2" t="str" cm="1">
        <f t="array" ref="U287">_xlfn.IFS(N287&gt;200000,"PEAK SALES",N287&gt;100000,"GOOD SALES",N287&gt;50000,"AVERAGE SALES",N287&lt;50000,"PROFIT",N287&lt;10000,"LOSS")</f>
        <v>PEAK SALES</v>
      </c>
      <c r="V287" s="2">
        <f t="shared" si="4"/>
        <v>3</v>
      </c>
    </row>
    <row r="288" spans="1:22" x14ac:dyDescent="0.25">
      <c r="A288" s="2">
        <v>2287</v>
      </c>
      <c r="B288" s="2" t="s">
        <v>155</v>
      </c>
      <c r="C288" s="2" t="s">
        <v>46</v>
      </c>
      <c r="D288" s="2" t="s">
        <v>32</v>
      </c>
      <c r="E288" s="2" t="s">
        <v>54</v>
      </c>
      <c r="F288" s="2" t="s">
        <v>34</v>
      </c>
      <c r="G288" s="2" t="s">
        <v>41</v>
      </c>
      <c r="H288" s="2" t="s">
        <v>42</v>
      </c>
      <c r="I288" s="2">
        <v>2</v>
      </c>
      <c r="J288" s="2">
        <v>13859</v>
      </c>
      <c r="K288" s="2">
        <v>1430.67</v>
      </c>
      <c r="L288" s="2">
        <v>2771.8</v>
      </c>
      <c r="M288" s="2">
        <v>483</v>
      </c>
      <c r="N288" s="2">
        <v>29542.13</v>
      </c>
      <c r="O288" s="2" t="s">
        <v>43</v>
      </c>
      <c r="P288" s="2">
        <v>3261</v>
      </c>
      <c r="Q288" s="2" t="s">
        <v>28</v>
      </c>
      <c r="R288" s="2" t="s">
        <v>37</v>
      </c>
      <c r="S288" s="2">
        <v>8</v>
      </c>
      <c r="T288" s="2">
        <v>1</v>
      </c>
      <c r="U288" s="2" t="str" cm="1">
        <f t="array" ref="U288">_xlfn.IFS(N288&gt;200000,"PEAK SALES",N288&gt;100000,"GOOD SALES",N288&gt;50000,"AVERAGE SALES",N288&lt;50000,"PROFIT",N288&lt;10000,"LOSS")</f>
        <v>PROFIT</v>
      </c>
      <c r="V288" s="2">
        <f t="shared" si="4"/>
        <v>1</v>
      </c>
    </row>
    <row r="289" spans="1:22" x14ac:dyDescent="0.25">
      <c r="A289" s="2">
        <v>2288</v>
      </c>
      <c r="B289" s="2" t="s">
        <v>74</v>
      </c>
      <c r="C289" s="2" t="s">
        <v>68</v>
      </c>
      <c r="D289" s="2" t="s">
        <v>73</v>
      </c>
      <c r="E289" s="2" t="s">
        <v>33</v>
      </c>
      <c r="F289" s="2" t="s">
        <v>24</v>
      </c>
      <c r="G289" s="2" t="s">
        <v>69</v>
      </c>
      <c r="H289" s="2" t="s">
        <v>36</v>
      </c>
      <c r="I289" s="2">
        <v>5</v>
      </c>
      <c r="J289" s="2">
        <v>24555</v>
      </c>
      <c r="K289" s="2">
        <v>10998.93</v>
      </c>
      <c r="L289" s="2">
        <v>12277.5</v>
      </c>
      <c r="M289" s="2">
        <v>338</v>
      </c>
      <c r="N289" s="2">
        <v>124391.57</v>
      </c>
      <c r="O289" s="2" t="s">
        <v>43</v>
      </c>
      <c r="P289" s="2">
        <v>30359</v>
      </c>
      <c r="Q289" s="2" t="s">
        <v>52</v>
      </c>
      <c r="R289" s="2" t="s">
        <v>37</v>
      </c>
      <c r="S289" s="2">
        <v>6</v>
      </c>
      <c r="T289" s="2">
        <v>3</v>
      </c>
      <c r="U289" s="2" t="str" cm="1">
        <f t="array" ref="U289">_xlfn.IFS(N289&gt;200000,"PEAK SALES",N289&gt;100000,"GOOD SALES",N289&gt;50000,"AVERAGE SALES",N289&lt;50000,"PROFIT",N289&lt;10000,"LOSS")</f>
        <v>GOOD SALES</v>
      </c>
      <c r="V289" s="2">
        <f t="shared" si="4"/>
        <v>3</v>
      </c>
    </row>
    <row r="290" spans="1:22" x14ac:dyDescent="0.25">
      <c r="A290" s="2">
        <v>2289</v>
      </c>
      <c r="B290" s="2" t="s">
        <v>100</v>
      </c>
      <c r="C290" s="2" t="s">
        <v>72</v>
      </c>
      <c r="D290" s="2" t="s">
        <v>32</v>
      </c>
      <c r="E290" s="2" t="s">
        <v>23</v>
      </c>
      <c r="F290" s="2" t="s">
        <v>48</v>
      </c>
      <c r="G290" s="2" t="s">
        <v>66</v>
      </c>
      <c r="H290" s="2" t="s">
        <v>26</v>
      </c>
      <c r="I290" s="2">
        <v>4</v>
      </c>
      <c r="J290" s="2">
        <v>35896</v>
      </c>
      <c r="K290" s="2">
        <v>14462.1</v>
      </c>
      <c r="L290" s="2">
        <v>14358.4</v>
      </c>
      <c r="M290" s="2">
        <v>78</v>
      </c>
      <c r="N290" s="2">
        <v>143558.29999999999</v>
      </c>
      <c r="O290" s="2" t="s">
        <v>27</v>
      </c>
      <c r="P290" s="2">
        <v>22450</v>
      </c>
      <c r="Q290" s="2" t="s">
        <v>28</v>
      </c>
      <c r="R290" s="2" t="s">
        <v>29</v>
      </c>
      <c r="S290" s="2">
        <v>10</v>
      </c>
      <c r="T290" s="2">
        <v>5</v>
      </c>
      <c r="U290" s="2" t="str" cm="1">
        <f t="array" ref="U290">_xlfn.IFS(N290&gt;200000,"PEAK SALES",N290&gt;100000,"GOOD SALES",N290&gt;50000,"AVERAGE SALES",N290&lt;50000,"PROFIT",N290&lt;10000,"LOSS")</f>
        <v>GOOD SALES</v>
      </c>
      <c r="V290" s="2">
        <f t="shared" si="4"/>
        <v>2</v>
      </c>
    </row>
    <row r="291" spans="1:22" x14ac:dyDescent="0.25">
      <c r="A291" s="2">
        <v>2290</v>
      </c>
      <c r="B291" s="2" t="s">
        <v>82</v>
      </c>
      <c r="C291" s="2" t="s">
        <v>87</v>
      </c>
      <c r="D291" s="2" t="s">
        <v>22</v>
      </c>
      <c r="E291" s="2" t="s">
        <v>33</v>
      </c>
      <c r="F291" s="2" t="s">
        <v>48</v>
      </c>
      <c r="G291" s="2" t="s">
        <v>49</v>
      </c>
      <c r="H291" s="2" t="s">
        <v>42</v>
      </c>
      <c r="I291" s="2">
        <v>3</v>
      </c>
      <c r="J291" s="2">
        <v>37592</v>
      </c>
      <c r="K291" s="2">
        <v>17224.27</v>
      </c>
      <c r="L291" s="2">
        <v>11277.6</v>
      </c>
      <c r="M291" s="2">
        <v>198</v>
      </c>
      <c r="N291" s="2">
        <v>107027.33</v>
      </c>
      <c r="O291" s="2" t="s">
        <v>62</v>
      </c>
      <c r="P291" s="2">
        <v>26123</v>
      </c>
      <c r="Q291" s="2" t="s">
        <v>63</v>
      </c>
      <c r="R291" s="2" t="s">
        <v>29</v>
      </c>
      <c r="S291" s="2">
        <v>6</v>
      </c>
      <c r="T291" s="2">
        <v>3</v>
      </c>
      <c r="U291" s="2" t="str" cm="1">
        <f t="array" ref="U291">_xlfn.IFS(N291&gt;200000,"PEAK SALES",N291&gt;100000,"GOOD SALES",N291&gt;50000,"AVERAGE SALES",N291&lt;50000,"PROFIT",N291&lt;10000,"LOSS")</f>
        <v>GOOD SALES</v>
      </c>
      <c r="V291" s="2">
        <f t="shared" si="4"/>
        <v>4</v>
      </c>
    </row>
    <row r="292" spans="1:22" x14ac:dyDescent="0.25">
      <c r="A292" s="2">
        <v>2291</v>
      </c>
      <c r="B292" s="2" t="s">
        <v>135</v>
      </c>
      <c r="C292" s="2" t="s">
        <v>68</v>
      </c>
      <c r="D292" s="2" t="s">
        <v>32</v>
      </c>
      <c r="E292" s="2" t="s">
        <v>33</v>
      </c>
      <c r="F292" s="2" t="s">
        <v>24</v>
      </c>
      <c r="G292" s="2" t="s">
        <v>94</v>
      </c>
      <c r="H292" s="2" t="s">
        <v>61</v>
      </c>
      <c r="I292" s="2">
        <v>1</v>
      </c>
      <c r="J292" s="2">
        <v>21808</v>
      </c>
      <c r="K292" s="2">
        <v>2258.27</v>
      </c>
      <c r="L292" s="2">
        <v>2180.8000000000002</v>
      </c>
      <c r="M292" s="2">
        <v>382</v>
      </c>
      <c r="N292" s="2">
        <v>22112.53</v>
      </c>
      <c r="O292" s="2" t="s">
        <v>62</v>
      </c>
      <c r="P292" s="2">
        <v>5819</v>
      </c>
      <c r="Q292" s="2" t="s">
        <v>28</v>
      </c>
      <c r="R292" s="2" t="s">
        <v>44</v>
      </c>
      <c r="S292" s="2">
        <v>8</v>
      </c>
      <c r="T292" s="2">
        <v>2</v>
      </c>
      <c r="U292" s="2" t="str" cm="1">
        <f t="array" ref="U292">_xlfn.IFS(N292&gt;200000,"PEAK SALES",N292&gt;100000,"GOOD SALES",N292&gt;50000,"AVERAGE SALES",N292&lt;50000,"PROFIT",N292&lt;10000,"LOSS")</f>
        <v>PROFIT</v>
      </c>
      <c r="V292" s="2">
        <f t="shared" si="4"/>
        <v>3</v>
      </c>
    </row>
    <row r="293" spans="1:22" x14ac:dyDescent="0.25">
      <c r="A293" s="2">
        <v>2292</v>
      </c>
      <c r="B293" s="2" t="s">
        <v>155</v>
      </c>
      <c r="C293" s="2" t="s">
        <v>58</v>
      </c>
      <c r="D293" s="2" t="s">
        <v>59</v>
      </c>
      <c r="E293" s="2" t="s">
        <v>33</v>
      </c>
      <c r="F293" s="2" t="s">
        <v>24</v>
      </c>
      <c r="G293" s="2" t="s">
        <v>69</v>
      </c>
      <c r="H293" s="2" t="s">
        <v>26</v>
      </c>
      <c r="I293" s="2">
        <v>1</v>
      </c>
      <c r="J293" s="2">
        <v>52875</v>
      </c>
      <c r="K293" s="2">
        <v>3763.9</v>
      </c>
      <c r="L293" s="2">
        <v>5287.5</v>
      </c>
      <c r="M293" s="2">
        <v>465</v>
      </c>
      <c r="N293" s="2">
        <v>54863.6</v>
      </c>
      <c r="O293" s="2" t="s">
        <v>50</v>
      </c>
      <c r="P293" s="2">
        <v>5723</v>
      </c>
      <c r="Q293" s="2" t="s">
        <v>28</v>
      </c>
      <c r="R293" s="2" t="s">
        <v>37</v>
      </c>
      <c r="S293" s="2">
        <v>2</v>
      </c>
      <c r="T293" s="2">
        <v>3</v>
      </c>
      <c r="U293" s="2" t="str" cm="1">
        <f t="array" ref="U293">_xlfn.IFS(N293&gt;200000,"PEAK SALES",N293&gt;100000,"GOOD SALES",N293&gt;50000,"AVERAGE SALES",N293&lt;50000,"PROFIT",N293&lt;10000,"LOSS")</f>
        <v>AVERAGE SALES</v>
      </c>
      <c r="V293" s="2">
        <f t="shared" si="4"/>
        <v>1</v>
      </c>
    </row>
    <row r="294" spans="1:22" x14ac:dyDescent="0.25">
      <c r="A294" s="2">
        <v>2293</v>
      </c>
      <c r="B294" s="2" t="s">
        <v>160</v>
      </c>
      <c r="C294" s="2" t="s">
        <v>21</v>
      </c>
      <c r="D294" s="2" t="s">
        <v>22</v>
      </c>
      <c r="E294" s="2" t="s">
        <v>54</v>
      </c>
      <c r="F294" s="2" t="s">
        <v>34</v>
      </c>
      <c r="G294" s="2" t="s">
        <v>35</v>
      </c>
      <c r="H294" s="2" t="s">
        <v>36</v>
      </c>
      <c r="I294" s="2">
        <v>5</v>
      </c>
      <c r="J294" s="2">
        <v>11565</v>
      </c>
      <c r="K294" s="2">
        <v>6500.59</v>
      </c>
      <c r="L294" s="2">
        <v>5782.5</v>
      </c>
      <c r="M294" s="2">
        <v>121</v>
      </c>
      <c r="N294" s="2">
        <v>57227.91</v>
      </c>
      <c r="O294" s="2" t="s">
        <v>43</v>
      </c>
      <c r="P294" s="2">
        <v>5847</v>
      </c>
      <c r="Q294" s="2" t="s">
        <v>28</v>
      </c>
      <c r="R294" s="2" t="s">
        <v>37</v>
      </c>
      <c r="S294" s="2">
        <v>2</v>
      </c>
      <c r="T294" s="2">
        <v>1</v>
      </c>
      <c r="U294" s="2" t="str" cm="1">
        <f t="array" ref="U294">_xlfn.IFS(N294&gt;200000,"PEAK SALES",N294&gt;100000,"GOOD SALES",N294&gt;50000,"AVERAGE SALES",N294&lt;50000,"PROFIT",N294&lt;10000,"LOSS")</f>
        <v>AVERAGE SALES</v>
      </c>
      <c r="V294" s="2">
        <f t="shared" si="4"/>
        <v>2</v>
      </c>
    </row>
    <row r="295" spans="1:22" x14ac:dyDescent="0.25">
      <c r="A295" s="2">
        <v>2294</v>
      </c>
      <c r="B295" s="2" t="s">
        <v>123</v>
      </c>
      <c r="C295" s="2" t="s">
        <v>72</v>
      </c>
      <c r="D295" s="2" t="s">
        <v>59</v>
      </c>
      <c r="E295" s="2" t="s">
        <v>33</v>
      </c>
      <c r="F295" s="2" t="s">
        <v>24</v>
      </c>
      <c r="G295" s="2" t="s">
        <v>25</v>
      </c>
      <c r="H295" s="2" t="s">
        <v>26</v>
      </c>
      <c r="I295" s="2">
        <v>5</v>
      </c>
      <c r="J295" s="2">
        <v>56298</v>
      </c>
      <c r="K295" s="2">
        <v>32908.51</v>
      </c>
      <c r="L295" s="2">
        <v>28149</v>
      </c>
      <c r="M295" s="2">
        <v>237</v>
      </c>
      <c r="N295" s="2">
        <v>276967.49</v>
      </c>
      <c r="O295" s="2" t="s">
        <v>27</v>
      </c>
      <c r="P295" s="2">
        <v>38019</v>
      </c>
      <c r="Q295" s="2" t="s">
        <v>52</v>
      </c>
      <c r="R295" s="2" t="s">
        <v>37</v>
      </c>
      <c r="S295" s="2">
        <v>5</v>
      </c>
      <c r="T295" s="2">
        <v>4</v>
      </c>
      <c r="U295" s="2" t="str" cm="1">
        <f t="array" ref="U295">_xlfn.IFS(N295&gt;200000,"PEAK SALES",N295&gt;100000,"GOOD SALES",N295&gt;50000,"AVERAGE SALES",N295&lt;50000,"PROFIT",N295&lt;10000,"LOSS")</f>
        <v>PEAK SALES</v>
      </c>
      <c r="V295" s="2">
        <f t="shared" si="4"/>
        <v>2</v>
      </c>
    </row>
    <row r="296" spans="1:22" x14ac:dyDescent="0.25">
      <c r="A296" s="2">
        <v>2295</v>
      </c>
      <c r="B296" s="2" t="s">
        <v>130</v>
      </c>
      <c r="C296" s="2" t="s">
        <v>21</v>
      </c>
      <c r="D296" s="2" t="s">
        <v>59</v>
      </c>
      <c r="E296" s="2" t="s">
        <v>103</v>
      </c>
      <c r="F296" s="2" t="s">
        <v>24</v>
      </c>
      <c r="G296" s="2" t="s">
        <v>94</v>
      </c>
      <c r="H296" s="2" t="s">
        <v>36</v>
      </c>
      <c r="I296" s="2">
        <v>3</v>
      </c>
      <c r="J296" s="2">
        <v>16363</v>
      </c>
      <c r="K296" s="2">
        <v>7397.12</v>
      </c>
      <c r="L296" s="2">
        <v>4908.8999999999996</v>
      </c>
      <c r="M296" s="2">
        <v>338</v>
      </c>
      <c r="N296" s="2">
        <v>46938.78</v>
      </c>
      <c r="O296" s="2" t="s">
        <v>62</v>
      </c>
      <c r="P296" s="2">
        <v>6857</v>
      </c>
      <c r="Q296" s="2" t="s">
        <v>63</v>
      </c>
      <c r="R296" s="2" t="s">
        <v>37</v>
      </c>
      <c r="S296" s="2">
        <v>10</v>
      </c>
      <c r="T296" s="2">
        <v>3</v>
      </c>
      <c r="U296" s="2" t="str" cm="1">
        <f t="array" ref="U296">_xlfn.IFS(N296&gt;200000,"PEAK SALES",N296&gt;100000,"GOOD SALES",N296&gt;50000,"AVERAGE SALES",N296&lt;50000,"PROFIT",N296&lt;10000,"LOSS")</f>
        <v>PROFIT</v>
      </c>
      <c r="V296" s="2">
        <f t="shared" si="4"/>
        <v>3</v>
      </c>
    </row>
    <row r="297" spans="1:22" x14ac:dyDescent="0.25">
      <c r="A297" s="2">
        <v>2296</v>
      </c>
      <c r="B297" s="2" t="s">
        <v>133</v>
      </c>
      <c r="C297" s="2" t="s">
        <v>87</v>
      </c>
      <c r="D297" s="2" t="s">
        <v>22</v>
      </c>
      <c r="E297" s="2" t="s">
        <v>33</v>
      </c>
      <c r="F297" s="2" t="s">
        <v>24</v>
      </c>
      <c r="G297" s="2" t="s">
        <v>69</v>
      </c>
      <c r="H297" s="2" t="s">
        <v>26</v>
      </c>
      <c r="I297" s="2">
        <v>3</v>
      </c>
      <c r="J297" s="2">
        <v>25123</v>
      </c>
      <c r="K297" s="2">
        <v>13730.85</v>
      </c>
      <c r="L297" s="2">
        <v>7536.9</v>
      </c>
      <c r="M297" s="2">
        <v>159</v>
      </c>
      <c r="N297" s="2">
        <v>69334.05</v>
      </c>
      <c r="O297" s="2" t="s">
        <v>62</v>
      </c>
      <c r="P297" s="2">
        <v>19236</v>
      </c>
      <c r="Q297" s="2" t="s">
        <v>63</v>
      </c>
      <c r="R297" s="2" t="s">
        <v>29</v>
      </c>
      <c r="S297" s="2">
        <v>7</v>
      </c>
      <c r="T297" s="2">
        <v>4</v>
      </c>
      <c r="U297" s="2" t="str" cm="1">
        <f t="array" ref="U297">_xlfn.IFS(N297&gt;200000,"PEAK SALES",N297&gt;100000,"GOOD SALES",N297&gt;50000,"AVERAGE SALES",N297&lt;50000,"PROFIT",N297&lt;10000,"LOSS")</f>
        <v>AVERAGE SALES</v>
      </c>
      <c r="V297" s="2">
        <f t="shared" si="4"/>
        <v>2</v>
      </c>
    </row>
    <row r="298" spans="1:22" x14ac:dyDescent="0.25">
      <c r="A298" s="2">
        <v>2297</v>
      </c>
      <c r="B298" s="2" t="s">
        <v>88</v>
      </c>
      <c r="C298" s="2" t="s">
        <v>65</v>
      </c>
      <c r="D298" s="2" t="s">
        <v>73</v>
      </c>
      <c r="E298" s="2" t="s">
        <v>54</v>
      </c>
      <c r="F298" s="2" t="s">
        <v>34</v>
      </c>
      <c r="G298" s="2" t="s">
        <v>41</v>
      </c>
      <c r="H298" s="2" t="s">
        <v>36</v>
      </c>
      <c r="I298" s="2">
        <v>3</v>
      </c>
      <c r="J298" s="2">
        <v>3560</v>
      </c>
      <c r="K298" s="2">
        <v>813.13</v>
      </c>
      <c r="L298" s="2">
        <v>1068</v>
      </c>
      <c r="M298" s="2">
        <v>423</v>
      </c>
      <c r="N298" s="2">
        <v>11357.87</v>
      </c>
      <c r="O298" s="2" t="s">
        <v>62</v>
      </c>
      <c r="P298" s="2">
        <v>2211</v>
      </c>
      <c r="Q298" s="2" t="s">
        <v>63</v>
      </c>
      <c r="R298" s="2" t="s">
        <v>37</v>
      </c>
      <c r="S298" s="2">
        <v>9</v>
      </c>
      <c r="T298" s="2">
        <v>4</v>
      </c>
      <c r="U298" s="2" t="str" cm="1">
        <f t="array" ref="U298">_xlfn.IFS(N298&gt;200000,"PEAK SALES",N298&gt;100000,"GOOD SALES",N298&gt;50000,"AVERAGE SALES",N298&lt;50000,"PROFIT",N298&lt;10000,"LOSS")</f>
        <v>PROFIT</v>
      </c>
      <c r="V298" s="2">
        <f t="shared" si="4"/>
        <v>3</v>
      </c>
    </row>
    <row r="299" spans="1:22" x14ac:dyDescent="0.25">
      <c r="A299" s="2">
        <v>2298</v>
      </c>
      <c r="B299" s="2" t="s">
        <v>57</v>
      </c>
      <c r="C299" s="2" t="s">
        <v>87</v>
      </c>
      <c r="D299" s="2" t="s">
        <v>73</v>
      </c>
      <c r="E299" s="2" t="s">
        <v>23</v>
      </c>
      <c r="F299" s="2" t="s">
        <v>48</v>
      </c>
      <c r="G299" s="2" t="s">
        <v>66</v>
      </c>
      <c r="H299" s="2" t="s">
        <v>26</v>
      </c>
      <c r="I299" s="2">
        <v>1</v>
      </c>
      <c r="J299" s="2">
        <v>29912</v>
      </c>
      <c r="K299" s="2">
        <v>4278.62</v>
      </c>
      <c r="L299" s="2">
        <v>2991.2</v>
      </c>
      <c r="M299" s="2">
        <v>328</v>
      </c>
      <c r="N299" s="2">
        <v>28952.58</v>
      </c>
      <c r="O299" s="2" t="s">
        <v>62</v>
      </c>
      <c r="P299" s="2">
        <v>5819</v>
      </c>
      <c r="Q299" s="2" t="s">
        <v>52</v>
      </c>
      <c r="R299" s="2" t="s">
        <v>29</v>
      </c>
      <c r="S299" s="2">
        <v>5</v>
      </c>
      <c r="T299" s="2">
        <v>3</v>
      </c>
      <c r="U299" s="2" t="str" cm="1">
        <f t="array" ref="U299">_xlfn.IFS(N299&gt;200000,"PEAK SALES",N299&gt;100000,"GOOD SALES",N299&gt;50000,"AVERAGE SALES",N299&lt;50000,"PROFIT",N299&lt;10000,"LOSS")</f>
        <v>PROFIT</v>
      </c>
      <c r="V299" s="2">
        <f t="shared" si="4"/>
        <v>1</v>
      </c>
    </row>
    <row r="300" spans="1:22" x14ac:dyDescent="0.25">
      <c r="A300" s="2">
        <v>2299</v>
      </c>
      <c r="B300" s="2" t="s">
        <v>173</v>
      </c>
      <c r="C300" s="2" t="s">
        <v>46</v>
      </c>
      <c r="D300" s="2" t="s">
        <v>22</v>
      </c>
      <c r="E300" s="2" t="s">
        <v>47</v>
      </c>
      <c r="F300" s="2" t="s">
        <v>48</v>
      </c>
      <c r="G300" s="2" t="s">
        <v>49</v>
      </c>
      <c r="H300" s="2" t="s">
        <v>26</v>
      </c>
      <c r="I300" s="2">
        <v>1</v>
      </c>
      <c r="J300" s="2">
        <v>41927</v>
      </c>
      <c r="K300" s="2">
        <v>3073.6</v>
      </c>
      <c r="L300" s="2">
        <v>4192.7</v>
      </c>
      <c r="M300" s="2">
        <v>79</v>
      </c>
      <c r="N300" s="2">
        <v>43125.1</v>
      </c>
      <c r="O300" s="2" t="s">
        <v>50</v>
      </c>
      <c r="P300" s="2">
        <v>5956</v>
      </c>
      <c r="Q300" s="2" t="s">
        <v>52</v>
      </c>
      <c r="R300" s="2" t="s">
        <v>37</v>
      </c>
      <c r="S300" s="2">
        <v>7</v>
      </c>
      <c r="T300" s="2">
        <v>1</v>
      </c>
      <c r="U300" s="2" t="str" cm="1">
        <f t="array" ref="U300">_xlfn.IFS(N300&gt;200000,"PEAK SALES",N300&gt;100000,"GOOD SALES",N300&gt;50000,"AVERAGE SALES",N300&lt;50000,"PROFIT",N300&lt;10000,"LOSS")</f>
        <v>PROFIT</v>
      </c>
      <c r="V300" s="2">
        <f t="shared" si="4"/>
        <v>2</v>
      </c>
    </row>
    <row r="301" spans="1:22" x14ac:dyDescent="0.25">
      <c r="A301" s="2">
        <v>2300</v>
      </c>
      <c r="B301" s="2" t="s">
        <v>145</v>
      </c>
      <c r="C301" s="2" t="s">
        <v>72</v>
      </c>
      <c r="D301" s="2" t="s">
        <v>22</v>
      </c>
      <c r="E301" s="2" t="s">
        <v>47</v>
      </c>
      <c r="F301" s="2" t="s">
        <v>24</v>
      </c>
      <c r="G301" s="2" t="s">
        <v>94</v>
      </c>
      <c r="H301" s="2" t="s">
        <v>61</v>
      </c>
      <c r="I301" s="2">
        <v>1</v>
      </c>
      <c r="J301" s="2">
        <v>3786</v>
      </c>
      <c r="K301" s="2">
        <v>478.6</v>
      </c>
      <c r="L301" s="2">
        <v>378.6</v>
      </c>
      <c r="M301" s="2">
        <v>115</v>
      </c>
      <c r="N301" s="2">
        <v>3801</v>
      </c>
      <c r="O301" s="2" t="s">
        <v>50</v>
      </c>
      <c r="P301" s="2">
        <v>440</v>
      </c>
      <c r="Q301" s="2" t="s">
        <v>52</v>
      </c>
      <c r="R301" s="2" t="s">
        <v>37</v>
      </c>
      <c r="S301" s="2">
        <v>8</v>
      </c>
      <c r="T301" s="2">
        <v>3</v>
      </c>
      <c r="U301" s="2" t="str" cm="1">
        <f t="array" ref="U301">_xlfn.IFS(N301&gt;200000,"PEAK SALES",N301&gt;100000,"GOOD SALES",N301&gt;50000,"AVERAGE SALES",N301&lt;50000,"PROFIT",N301&lt;10000,"LOSS")</f>
        <v>PROFIT</v>
      </c>
      <c r="V301" s="2">
        <f t="shared" si="4"/>
        <v>4</v>
      </c>
    </row>
    <row r="302" spans="1:22" x14ac:dyDescent="0.25">
      <c r="A302" s="2">
        <v>2301</v>
      </c>
      <c r="B302" s="2" t="s">
        <v>109</v>
      </c>
      <c r="C302" s="2" t="s">
        <v>65</v>
      </c>
      <c r="D302" s="2" t="s">
        <v>32</v>
      </c>
      <c r="E302" s="2" t="s">
        <v>56</v>
      </c>
      <c r="F302" s="2" t="s">
        <v>48</v>
      </c>
      <c r="G302" s="2" t="s">
        <v>66</v>
      </c>
      <c r="H302" s="2" t="s">
        <v>36</v>
      </c>
      <c r="I302" s="2">
        <v>3</v>
      </c>
      <c r="J302" s="2">
        <v>56572</v>
      </c>
      <c r="K302" s="2">
        <v>8543.2999999999993</v>
      </c>
      <c r="L302" s="2">
        <v>16971.599999999999</v>
      </c>
      <c r="M302" s="2">
        <v>408</v>
      </c>
      <c r="N302" s="2">
        <v>178552.3</v>
      </c>
      <c r="O302" s="2" t="s">
        <v>50</v>
      </c>
      <c r="P302" s="2">
        <v>49748</v>
      </c>
      <c r="Q302" s="2" t="s">
        <v>52</v>
      </c>
      <c r="R302" s="2" t="s">
        <v>44</v>
      </c>
      <c r="S302" s="2">
        <v>2</v>
      </c>
      <c r="T302" s="2">
        <v>4</v>
      </c>
      <c r="U302" s="2" t="str" cm="1">
        <f t="array" ref="U302">_xlfn.IFS(N302&gt;200000,"PEAK SALES",N302&gt;100000,"GOOD SALES",N302&gt;50000,"AVERAGE SALES",N302&lt;50000,"PROFIT",N302&lt;10000,"LOSS")</f>
        <v>GOOD SALES</v>
      </c>
      <c r="V302" s="2">
        <f t="shared" si="4"/>
        <v>4</v>
      </c>
    </row>
    <row r="303" spans="1:22" x14ac:dyDescent="0.25">
      <c r="A303" s="2">
        <v>2302</v>
      </c>
      <c r="B303" s="2" t="s">
        <v>142</v>
      </c>
      <c r="C303" s="2" t="s">
        <v>75</v>
      </c>
      <c r="D303" s="2" t="s">
        <v>59</v>
      </c>
      <c r="E303" s="2" t="s">
        <v>56</v>
      </c>
      <c r="F303" s="2" t="s">
        <v>48</v>
      </c>
      <c r="G303" s="2" t="s">
        <v>66</v>
      </c>
      <c r="H303" s="2" t="s">
        <v>36</v>
      </c>
      <c r="I303" s="2">
        <v>2</v>
      </c>
      <c r="J303" s="2">
        <v>46269</v>
      </c>
      <c r="K303" s="2">
        <v>10341.35</v>
      </c>
      <c r="L303" s="2">
        <v>9253.7999999999993</v>
      </c>
      <c r="M303" s="2">
        <v>444</v>
      </c>
      <c r="N303" s="2">
        <v>91894.45</v>
      </c>
      <c r="O303" s="2" t="s">
        <v>62</v>
      </c>
      <c r="P303" s="2">
        <v>11702</v>
      </c>
      <c r="Q303" s="2" t="s">
        <v>52</v>
      </c>
      <c r="R303" s="2" t="s">
        <v>37</v>
      </c>
      <c r="S303" s="2">
        <v>8</v>
      </c>
      <c r="T303" s="2">
        <v>4</v>
      </c>
      <c r="U303" s="2" t="str" cm="1">
        <f t="array" ref="U303">_xlfn.IFS(N303&gt;200000,"PEAK SALES",N303&gt;100000,"GOOD SALES",N303&gt;50000,"AVERAGE SALES",N303&lt;50000,"PROFIT",N303&lt;10000,"LOSS")</f>
        <v>AVERAGE SALES</v>
      </c>
      <c r="V303" s="2">
        <f t="shared" si="4"/>
        <v>1</v>
      </c>
    </row>
    <row r="304" spans="1:22" x14ac:dyDescent="0.25">
      <c r="A304" s="2">
        <v>2303</v>
      </c>
      <c r="B304" s="2" t="s">
        <v>105</v>
      </c>
      <c r="C304" s="2" t="s">
        <v>87</v>
      </c>
      <c r="D304" s="2" t="s">
        <v>59</v>
      </c>
      <c r="E304" s="2" t="s">
        <v>23</v>
      </c>
      <c r="F304" s="2" t="s">
        <v>34</v>
      </c>
      <c r="G304" s="2" t="s">
        <v>41</v>
      </c>
      <c r="H304" s="2" t="s">
        <v>36</v>
      </c>
      <c r="I304" s="2">
        <v>5</v>
      </c>
      <c r="J304" s="2">
        <v>35973</v>
      </c>
      <c r="K304" s="2">
        <v>16598.349999999999</v>
      </c>
      <c r="L304" s="2">
        <v>17986.5</v>
      </c>
      <c r="M304" s="2">
        <v>429</v>
      </c>
      <c r="N304" s="2">
        <v>181682.15</v>
      </c>
      <c r="O304" s="2" t="s">
        <v>50</v>
      </c>
      <c r="P304" s="2">
        <v>49666</v>
      </c>
      <c r="Q304" s="2" t="s">
        <v>52</v>
      </c>
      <c r="R304" s="2" t="s">
        <v>44</v>
      </c>
      <c r="S304" s="2">
        <v>7</v>
      </c>
      <c r="T304" s="2">
        <v>2</v>
      </c>
      <c r="U304" s="2" t="str" cm="1">
        <f t="array" ref="U304">_xlfn.IFS(N304&gt;200000,"PEAK SALES",N304&gt;100000,"GOOD SALES",N304&gt;50000,"AVERAGE SALES",N304&lt;50000,"PROFIT",N304&lt;10000,"LOSS")</f>
        <v>GOOD SALES</v>
      </c>
      <c r="V304" s="2">
        <f t="shared" si="4"/>
        <v>2</v>
      </c>
    </row>
    <row r="305" spans="1:22" x14ac:dyDescent="0.25">
      <c r="A305" s="2">
        <v>2304</v>
      </c>
      <c r="B305" s="2" t="s">
        <v>162</v>
      </c>
      <c r="C305" s="2" t="s">
        <v>75</v>
      </c>
      <c r="D305" s="2" t="s">
        <v>22</v>
      </c>
      <c r="E305" s="2" t="s">
        <v>103</v>
      </c>
      <c r="F305" s="2" t="s">
        <v>34</v>
      </c>
      <c r="G305" s="2" t="s">
        <v>60</v>
      </c>
      <c r="H305" s="2" t="s">
        <v>61</v>
      </c>
      <c r="I305" s="2">
        <v>5</v>
      </c>
      <c r="J305" s="2">
        <v>24977</v>
      </c>
      <c r="K305" s="2">
        <v>15940.84</v>
      </c>
      <c r="L305" s="2">
        <v>12488.5</v>
      </c>
      <c r="M305" s="2">
        <v>334</v>
      </c>
      <c r="N305" s="2">
        <v>121766.66</v>
      </c>
      <c r="O305" s="2" t="s">
        <v>43</v>
      </c>
      <c r="P305" s="2">
        <v>16573</v>
      </c>
      <c r="Q305" s="2" t="s">
        <v>28</v>
      </c>
      <c r="R305" s="2" t="s">
        <v>44</v>
      </c>
      <c r="S305" s="2">
        <v>9</v>
      </c>
      <c r="T305" s="2">
        <v>3</v>
      </c>
      <c r="U305" s="2" t="str" cm="1">
        <f t="array" ref="U305">_xlfn.IFS(N305&gt;200000,"PEAK SALES",N305&gt;100000,"GOOD SALES",N305&gt;50000,"AVERAGE SALES",N305&lt;50000,"PROFIT",N305&lt;10000,"LOSS")</f>
        <v>GOOD SALES</v>
      </c>
      <c r="V305" s="2">
        <f t="shared" si="4"/>
        <v>4</v>
      </c>
    </row>
    <row r="306" spans="1:22" x14ac:dyDescent="0.25">
      <c r="A306" s="2">
        <v>2305</v>
      </c>
      <c r="B306" s="2" t="s">
        <v>121</v>
      </c>
      <c r="C306" s="2" t="s">
        <v>72</v>
      </c>
      <c r="D306" s="2" t="s">
        <v>22</v>
      </c>
      <c r="E306" s="2" t="s">
        <v>33</v>
      </c>
      <c r="F306" s="2" t="s">
        <v>34</v>
      </c>
      <c r="G306" s="2" t="s">
        <v>60</v>
      </c>
      <c r="H306" s="2" t="s">
        <v>36</v>
      </c>
      <c r="I306" s="2">
        <v>2</v>
      </c>
      <c r="J306" s="2">
        <v>26871</v>
      </c>
      <c r="K306" s="2">
        <v>6204.51</v>
      </c>
      <c r="L306" s="2">
        <v>5374.2</v>
      </c>
      <c r="M306" s="2">
        <v>328</v>
      </c>
      <c r="N306" s="2">
        <v>53239.69</v>
      </c>
      <c r="O306" s="2" t="s">
        <v>27</v>
      </c>
      <c r="P306" s="2">
        <v>13661</v>
      </c>
      <c r="Q306" s="2" t="s">
        <v>28</v>
      </c>
      <c r="R306" s="2" t="s">
        <v>37</v>
      </c>
      <c r="S306" s="2">
        <v>6</v>
      </c>
      <c r="T306" s="2">
        <v>3</v>
      </c>
      <c r="U306" s="2" t="str" cm="1">
        <f t="array" ref="U306">_xlfn.IFS(N306&gt;200000,"PEAK SALES",N306&gt;100000,"GOOD SALES",N306&gt;50000,"AVERAGE SALES",N306&lt;50000,"PROFIT",N306&lt;10000,"LOSS")</f>
        <v>AVERAGE SALES</v>
      </c>
      <c r="V306" s="2">
        <f t="shared" si="4"/>
        <v>3</v>
      </c>
    </row>
    <row r="307" spans="1:22" x14ac:dyDescent="0.25">
      <c r="A307" s="2">
        <v>2306</v>
      </c>
      <c r="B307" s="2" t="s">
        <v>67</v>
      </c>
      <c r="C307" s="2" t="s">
        <v>68</v>
      </c>
      <c r="D307" s="2" t="s">
        <v>73</v>
      </c>
      <c r="E307" s="2" t="s">
        <v>56</v>
      </c>
      <c r="F307" s="2" t="s">
        <v>34</v>
      </c>
      <c r="G307" s="2" t="s">
        <v>35</v>
      </c>
      <c r="H307" s="2" t="s">
        <v>61</v>
      </c>
      <c r="I307" s="2">
        <v>1</v>
      </c>
      <c r="J307" s="2">
        <v>10125</v>
      </c>
      <c r="K307" s="2">
        <v>1341.71</v>
      </c>
      <c r="L307" s="2">
        <v>1012.5</v>
      </c>
      <c r="M307" s="2">
        <v>344</v>
      </c>
      <c r="N307" s="2">
        <v>10139.790000000001</v>
      </c>
      <c r="O307" s="2" t="s">
        <v>62</v>
      </c>
      <c r="P307" s="2">
        <v>2793</v>
      </c>
      <c r="Q307" s="2" t="s">
        <v>28</v>
      </c>
      <c r="R307" s="2" t="s">
        <v>29</v>
      </c>
      <c r="S307" s="2">
        <v>2</v>
      </c>
      <c r="T307" s="2">
        <v>5</v>
      </c>
      <c r="U307" s="2" t="str" cm="1">
        <f t="array" ref="U307">_xlfn.IFS(N307&gt;200000,"PEAK SALES",N307&gt;100000,"GOOD SALES",N307&gt;50000,"AVERAGE SALES",N307&lt;50000,"PROFIT",N307&lt;10000,"LOSS")</f>
        <v>PROFIT</v>
      </c>
      <c r="V307" s="2">
        <f t="shared" si="4"/>
        <v>4</v>
      </c>
    </row>
    <row r="308" spans="1:22" x14ac:dyDescent="0.25">
      <c r="A308" s="2">
        <v>2307</v>
      </c>
      <c r="B308" s="2" t="s">
        <v>137</v>
      </c>
      <c r="C308" s="2" t="s">
        <v>21</v>
      </c>
      <c r="D308" s="2" t="s">
        <v>32</v>
      </c>
      <c r="E308" s="2" t="s">
        <v>54</v>
      </c>
      <c r="F308" s="2" t="s">
        <v>48</v>
      </c>
      <c r="G308" s="2" t="s">
        <v>77</v>
      </c>
      <c r="H308" s="2" t="s">
        <v>26</v>
      </c>
      <c r="I308" s="2">
        <v>5</v>
      </c>
      <c r="J308" s="2">
        <v>26542</v>
      </c>
      <c r="K308" s="2">
        <v>20128.68</v>
      </c>
      <c r="L308" s="2">
        <v>13271</v>
      </c>
      <c r="M308" s="2">
        <v>446</v>
      </c>
      <c r="N308" s="2">
        <v>126298.32</v>
      </c>
      <c r="O308" s="2" t="s">
        <v>27</v>
      </c>
      <c r="P308" s="2">
        <v>27494</v>
      </c>
      <c r="Q308" s="2" t="s">
        <v>63</v>
      </c>
      <c r="R308" s="2" t="s">
        <v>44</v>
      </c>
      <c r="S308" s="2">
        <v>6</v>
      </c>
      <c r="T308" s="2">
        <v>3</v>
      </c>
      <c r="U308" s="2" t="str" cm="1">
        <f t="array" ref="U308">_xlfn.IFS(N308&gt;200000,"PEAK SALES",N308&gt;100000,"GOOD SALES",N308&gt;50000,"AVERAGE SALES",N308&lt;50000,"PROFIT",N308&lt;10000,"LOSS")</f>
        <v>GOOD SALES</v>
      </c>
      <c r="V308" s="2">
        <f t="shared" si="4"/>
        <v>3</v>
      </c>
    </row>
    <row r="309" spans="1:22" x14ac:dyDescent="0.25">
      <c r="A309" s="2">
        <v>2308</v>
      </c>
      <c r="B309" s="2" t="s">
        <v>147</v>
      </c>
      <c r="C309" s="2" t="s">
        <v>39</v>
      </c>
      <c r="D309" s="2" t="s">
        <v>22</v>
      </c>
      <c r="E309" s="2" t="s">
        <v>103</v>
      </c>
      <c r="F309" s="2" t="s">
        <v>34</v>
      </c>
      <c r="G309" s="2" t="s">
        <v>60</v>
      </c>
      <c r="H309" s="2" t="s">
        <v>36</v>
      </c>
      <c r="I309" s="2">
        <v>4</v>
      </c>
      <c r="J309" s="2">
        <v>26829</v>
      </c>
      <c r="K309" s="2">
        <v>8476.2999999999993</v>
      </c>
      <c r="L309" s="2">
        <v>10731.6</v>
      </c>
      <c r="M309" s="2">
        <v>361</v>
      </c>
      <c r="N309" s="2">
        <v>109932.3</v>
      </c>
      <c r="O309" s="2" t="s">
        <v>43</v>
      </c>
      <c r="P309" s="2">
        <v>24068</v>
      </c>
      <c r="Q309" s="2" t="s">
        <v>52</v>
      </c>
      <c r="R309" s="2" t="s">
        <v>37</v>
      </c>
      <c r="S309" s="2">
        <v>8</v>
      </c>
      <c r="T309" s="2">
        <v>4</v>
      </c>
      <c r="U309" s="2" t="str" cm="1">
        <f t="array" ref="U309">_xlfn.IFS(N309&gt;200000,"PEAK SALES",N309&gt;100000,"GOOD SALES",N309&gt;50000,"AVERAGE SALES",N309&lt;50000,"PROFIT",N309&lt;10000,"LOSS")</f>
        <v>GOOD SALES</v>
      </c>
      <c r="V309" s="2">
        <f t="shared" si="4"/>
        <v>4</v>
      </c>
    </row>
    <row r="310" spans="1:22" x14ac:dyDescent="0.25">
      <c r="A310" s="2">
        <v>2309</v>
      </c>
      <c r="B310" s="2" t="s">
        <v>113</v>
      </c>
      <c r="C310" s="2" t="s">
        <v>72</v>
      </c>
      <c r="D310" s="2" t="s">
        <v>73</v>
      </c>
      <c r="E310" s="2" t="s">
        <v>23</v>
      </c>
      <c r="F310" s="2" t="s">
        <v>48</v>
      </c>
      <c r="G310" s="2" t="s">
        <v>77</v>
      </c>
      <c r="H310" s="2" t="s">
        <v>36</v>
      </c>
      <c r="I310" s="2">
        <v>4</v>
      </c>
      <c r="J310" s="2">
        <v>51606</v>
      </c>
      <c r="K310" s="2">
        <v>25618.14</v>
      </c>
      <c r="L310" s="2">
        <v>20642.400000000001</v>
      </c>
      <c r="M310" s="2">
        <v>421</v>
      </c>
      <c r="N310" s="2">
        <v>201869.26</v>
      </c>
      <c r="O310" s="2" t="s">
        <v>50</v>
      </c>
      <c r="P310" s="2">
        <v>35705</v>
      </c>
      <c r="Q310" s="2" t="s">
        <v>52</v>
      </c>
      <c r="R310" s="2" t="s">
        <v>44</v>
      </c>
      <c r="S310" s="2">
        <v>3</v>
      </c>
      <c r="T310" s="2">
        <v>5</v>
      </c>
      <c r="U310" s="2" t="str" cm="1">
        <f t="array" ref="U310">_xlfn.IFS(N310&gt;200000,"PEAK SALES",N310&gt;100000,"GOOD SALES",N310&gt;50000,"AVERAGE SALES",N310&lt;50000,"PROFIT",N310&lt;10000,"LOSS")</f>
        <v>PEAK SALES</v>
      </c>
      <c r="V310" s="2">
        <f t="shared" si="4"/>
        <v>4</v>
      </c>
    </row>
    <row r="311" spans="1:22" x14ac:dyDescent="0.25">
      <c r="A311" s="2">
        <v>2310</v>
      </c>
      <c r="B311" s="2" t="s">
        <v>101</v>
      </c>
      <c r="C311" s="2" t="s">
        <v>21</v>
      </c>
      <c r="D311" s="2" t="s">
        <v>22</v>
      </c>
      <c r="E311" s="2" t="s">
        <v>23</v>
      </c>
      <c r="F311" s="2" t="s">
        <v>34</v>
      </c>
      <c r="G311" s="2" t="s">
        <v>35</v>
      </c>
      <c r="H311" s="2" t="s">
        <v>26</v>
      </c>
      <c r="I311" s="2">
        <v>1</v>
      </c>
      <c r="J311" s="2">
        <v>20128</v>
      </c>
      <c r="K311" s="2">
        <v>1199.6199999999999</v>
      </c>
      <c r="L311" s="2">
        <v>2012.8</v>
      </c>
      <c r="M311" s="2">
        <v>237</v>
      </c>
      <c r="N311" s="2">
        <v>21178.18</v>
      </c>
      <c r="O311" s="2" t="s">
        <v>50</v>
      </c>
      <c r="P311" s="2">
        <v>3511</v>
      </c>
      <c r="Q311" s="2" t="s">
        <v>52</v>
      </c>
      <c r="R311" s="2" t="s">
        <v>29</v>
      </c>
      <c r="S311" s="2">
        <v>8</v>
      </c>
      <c r="T311" s="2">
        <v>2</v>
      </c>
      <c r="U311" s="2" t="str" cm="1">
        <f t="array" ref="U311">_xlfn.IFS(N311&gt;200000,"PEAK SALES",N311&gt;100000,"GOOD SALES",N311&gt;50000,"AVERAGE SALES",N311&lt;50000,"PROFIT",N311&lt;10000,"LOSS")</f>
        <v>PROFIT</v>
      </c>
      <c r="V311" s="2">
        <f t="shared" si="4"/>
        <v>2</v>
      </c>
    </row>
    <row r="312" spans="1:22" x14ac:dyDescent="0.25">
      <c r="A312" s="2">
        <v>2311</v>
      </c>
      <c r="B312" s="2" t="s">
        <v>76</v>
      </c>
      <c r="C312" s="2" t="s">
        <v>87</v>
      </c>
      <c r="D312" s="2" t="s">
        <v>22</v>
      </c>
      <c r="E312" s="2" t="s">
        <v>33</v>
      </c>
      <c r="F312" s="2" t="s">
        <v>34</v>
      </c>
      <c r="G312" s="2" t="s">
        <v>60</v>
      </c>
      <c r="H312" s="2" t="s">
        <v>36</v>
      </c>
      <c r="I312" s="2">
        <v>4</v>
      </c>
      <c r="J312" s="2">
        <v>24886</v>
      </c>
      <c r="K312" s="2">
        <v>19032.13</v>
      </c>
      <c r="L312" s="2">
        <v>9954.4</v>
      </c>
      <c r="M312" s="2">
        <v>54</v>
      </c>
      <c r="N312" s="2">
        <v>90520.26999999999</v>
      </c>
      <c r="O312" s="2" t="s">
        <v>62</v>
      </c>
      <c r="P312" s="2">
        <v>17042</v>
      </c>
      <c r="Q312" s="2" t="s">
        <v>63</v>
      </c>
      <c r="R312" s="2" t="s">
        <v>29</v>
      </c>
      <c r="S312" s="2">
        <v>3</v>
      </c>
      <c r="T312" s="2">
        <v>5</v>
      </c>
      <c r="U312" s="2" t="str" cm="1">
        <f t="array" ref="U312">_xlfn.IFS(N312&gt;200000,"PEAK SALES",N312&gt;100000,"GOOD SALES",N312&gt;50000,"AVERAGE SALES",N312&lt;50000,"PROFIT",N312&lt;10000,"LOSS")</f>
        <v>AVERAGE SALES</v>
      </c>
      <c r="V312" s="2">
        <f t="shared" si="4"/>
        <v>1</v>
      </c>
    </row>
    <row r="313" spans="1:22" x14ac:dyDescent="0.25">
      <c r="A313" s="2">
        <v>2312</v>
      </c>
      <c r="B313" s="2" t="s">
        <v>45</v>
      </c>
      <c r="C313" s="2" t="s">
        <v>72</v>
      </c>
      <c r="D313" s="2" t="s">
        <v>22</v>
      </c>
      <c r="E313" s="2" t="s">
        <v>103</v>
      </c>
      <c r="F313" s="2" t="s">
        <v>24</v>
      </c>
      <c r="G313" s="2" t="s">
        <v>69</v>
      </c>
      <c r="H313" s="2" t="s">
        <v>36</v>
      </c>
      <c r="I313" s="2">
        <v>5</v>
      </c>
      <c r="J313" s="2">
        <v>29137</v>
      </c>
      <c r="K313" s="2">
        <v>11773.06</v>
      </c>
      <c r="L313" s="2">
        <v>14568.5</v>
      </c>
      <c r="M313" s="2">
        <v>199</v>
      </c>
      <c r="N313" s="2">
        <v>148679.44</v>
      </c>
      <c r="O313" s="2" t="s">
        <v>27</v>
      </c>
      <c r="P313" s="2">
        <v>32419</v>
      </c>
      <c r="Q313" s="2" t="s">
        <v>52</v>
      </c>
      <c r="R313" s="2" t="s">
        <v>29</v>
      </c>
      <c r="S313" s="2">
        <v>3</v>
      </c>
      <c r="T313" s="2">
        <v>4</v>
      </c>
      <c r="U313" s="2" t="str" cm="1">
        <f t="array" ref="U313">_xlfn.IFS(N313&gt;200000,"PEAK SALES",N313&gt;100000,"GOOD SALES",N313&gt;50000,"AVERAGE SALES",N313&lt;50000,"PROFIT",N313&lt;10000,"LOSS")</f>
        <v>GOOD SALES</v>
      </c>
      <c r="V313" s="2">
        <f t="shared" si="4"/>
        <v>2</v>
      </c>
    </row>
    <row r="314" spans="1:22" x14ac:dyDescent="0.25">
      <c r="A314" s="2">
        <v>2313</v>
      </c>
      <c r="B314" s="2" t="s">
        <v>85</v>
      </c>
      <c r="C314" s="2" t="s">
        <v>72</v>
      </c>
      <c r="D314" s="2" t="s">
        <v>32</v>
      </c>
      <c r="E314" s="2" t="s">
        <v>47</v>
      </c>
      <c r="F314" s="2" t="s">
        <v>34</v>
      </c>
      <c r="G314" s="2" t="s">
        <v>60</v>
      </c>
      <c r="H314" s="2" t="s">
        <v>42</v>
      </c>
      <c r="I314" s="2">
        <v>3</v>
      </c>
      <c r="J314" s="2">
        <v>46484</v>
      </c>
      <c r="K314" s="2">
        <v>19182.41</v>
      </c>
      <c r="L314" s="2">
        <v>13945.2</v>
      </c>
      <c r="M314" s="2">
        <v>96</v>
      </c>
      <c r="N314" s="2">
        <v>134310.79</v>
      </c>
      <c r="O314" s="2" t="s">
        <v>62</v>
      </c>
      <c r="P314" s="2">
        <v>29957</v>
      </c>
      <c r="Q314" s="2" t="s">
        <v>52</v>
      </c>
      <c r="R314" s="2" t="s">
        <v>29</v>
      </c>
      <c r="S314" s="2">
        <v>5</v>
      </c>
      <c r="T314" s="2">
        <v>3</v>
      </c>
      <c r="U314" s="2" t="str" cm="1">
        <f t="array" ref="U314">_xlfn.IFS(N314&gt;200000,"PEAK SALES",N314&gt;100000,"GOOD SALES",N314&gt;50000,"AVERAGE SALES",N314&lt;50000,"PROFIT",N314&lt;10000,"LOSS")</f>
        <v>GOOD SALES</v>
      </c>
      <c r="V314" s="2">
        <f t="shared" si="4"/>
        <v>1</v>
      </c>
    </row>
    <row r="315" spans="1:22" x14ac:dyDescent="0.25">
      <c r="A315" s="2">
        <v>2314</v>
      </c>
      <c r="B315" s="2" t="s">
        <v>97</v>
      </c>
      <c r="C315" s="2" t="s">
        <v>65</v>
      </c>
      <c r="D315" s="2" t="s">
        <v>22</v>
      </c>
      <c r="E315" s="2" t="s">
        <v>54</v>
      </c>
      <c r="F315" s="2" t="s">
        <v>34</v>
      </c>
      <c r="G315" s="2" t="s">
        <v>41</v>
      </c>
      <c r="H315" s="2" t="s">
        <v>61</v>
      </c>
      <c r="I315" s="2">
        <v>4</v>
      </c>
      <c r="J315" s="2">
        <v>25613</v>
      </c>
      <c r="K315" s="2">
        <v>19451.419999999998</v>
      </c>
      <c r="L315" s="2">
        <v>10245.200000000001</v>
      </c>
      <c r="M315" s="2">
        <v>312</v>
      </c>
      <c r="N315" s="2">
        <v>93557.78</v>
      </c>
      <c r="O315" s="2" t="s">
        <v>50</v>
      </c>
      <c r="P315" s="2">
        <v>27590</v>
      </c>
      <c r="Q315" s="2" t="s">
        <v>63</v>
      </c>
      <c r="R315" s="2" t="s">
        <v>44</v>
      </c>
      <c r="S315" s="2">
        <v>5</v>
      </c>
      <c r="T315" s="2">
        <v>2</v>
      </c>
      <c r="U315" s="2" t="str" cm="1">
        <f t="array" ref="U315">_xlfn.IFS(N315&gt;200000,"PEAK SALES",N315&gt;100000,"GOOD SALES",N315&gt;50000,"AVERAGE SALES",N315&lt;50000,"PROFIT",N315&lt;10000,"LOSS")</f>
        <v>AVERAGE SALES</v>
      </c>
      <c r="V315" s="2">
        <f t="shared" si="4"/>
        <v>4</v>
      </c>
    </row>
    <row r="316" spans="1:22" x14ac:dyDescent="0.25">
      <c r="A316" s="2">
        <v>2315</v>
      </c>
      <c r="B316" s="2" t="s">
        <v>91</v>
      </c>
      <c r="C316" s="2" t="s">
        <v>39</v>
      </c>
      <c r="D316" s="2" t="s">
        <v>73</v>
      </c>
      <c r="E316" s="2" t="s">
        <v>47</v>
      </c>
      <c r="F316" s="2" t="s">
        <v>34</v>
      </c>
      <c r="G316" s="2" t="s">
        <v>60</v>
      </c>
      <c r="H316" s="2" t="s">
        <v>61</v>
      </c>
      <c r="I316" s="2">
        <v>1</v>
      </c>
      <c r="J316" s="2">
        <v>31575</v>
      </c>
      <c r="K316" s="2">
        <v>4082.67</v>
      </c>
      <c r="L316" s="2">
        <v>3157.5</v>
      </c>
      <c r="M316" s="2">
        <v>250</v>
      </c>
      <c r="N316" s="2">
        <v>30899.83</v>
      </c>
      <c r="O316" s="2" t="s">
        <v>43</v>
      </c>
      <c r="P316" s="2">
        <v>6447</v>
      </c>
      <c r="Q316" s="2" t="s">
        <v>63</v>
      </c>
      <c r="R316" s="2" t="s">
        <v>37</v>
      </c>
      <c r="S316" s="2">
        <v>10</v>
      </c>
      <c r="T316" s="2">
        <v>4</v>
      </c>
      <c r="U316" s="2" t="str" cm="1">
        <f t="array" ref="U316">_xlfn.IFS(N316&gt;200000,"PEAK SALES",N316&gt;100000,"GOOD SALES",N316&gt;50000,"AVERAGE SALES",N316&lt;50000,"PROFIT",N316&lt;10000,"LOSS")</f>
        <v>PROFIT</v>
      </c>
      <c r="V316" s="2">
        <f t="shared" si="4"/>
        <v>2</v>
      </c>
    </row>
    <row r="317" spans="1:22" x14ac:dyDescent="0.25">
      <c r="A317" s="2">
        <v>2316</v>
      </c>
      <c r="B317" s="2" t="s">
        <v>176</v>
      </c>
      <c r="C317" s="2" t="s">
        <v>39</v>
      </c>
      <c r="D317" s="2" t="s">
        <v>32</v>
      </c>
      <c r="E317" s="2" t="s">
        <v>56</v>
      </c>
      <c r="F317" s="2" t="s">
        <v>34</v>
      </c>
      <c r="G317" s="2" t="s">
        <v>80</v>
      </c>
      <c r="H317" s="2" t="s">
        <v>26</v>
      </c>
      <c r="I317" s="2">
        <v>2</v>
      </c>
      <c r="J317" s="2">
        <v>32156</v>
      </c>
      <c r="K317" s="2">
        <v>6612.48</v>
      </c>
      <c r="L317" s="2">
        <v>6431.2</v>
      </c>
      <c r="M317" s="2">
        <v>72</v>
      </c>
      <c r="N317" s="2">
        <v>64202.720000000001</v>
      </c>
      <c r="O317" s="2" t="s">
        <v>62</v>
      </c>
      <c r="P317" s="2">
        <v>11638</v>
      </c>
      <c r="Q317" s="2" t="s">
        <v>28</v>
      </c>
      <c r="R317" s="2" t="s">
        <v>37</v>
      </c>
      <c r="S317" s="2">
        <v>7</v>
      </c>
      <c r="T317" s="2">
        <v>2</v>
      </c>
      <c r="U317" s="2" t="str" cm="1">
        <f t="array" ref="U317">_xlfn.IFS(N317&gt;200000,"PEAK SALES",N317&gt;100000,"GOOD SALES",N317&gt;50000,"AVERAGE SALES",N317&lt;50000,"PROFIT",N317&lt;10000,"LOSS")</f>
        <v>AVERAGE SALES</v>
      </c>
      <c r="V317" s="2">
        <f t="shared" si="4"/>
        <v>3</v>
      </c>
    </row>
    <row r="318" spans="1:22" x14ac:dyDescent="0.25">
      <c r="A318" s="2">
        <v>2317</v>
      </c>
      <c r="B318" s="2" t="s">
        <v>177</v>
      </c>
      <c r="C318" s="2" t="s">
        <v>46</v>
      </c>
      <c r="D318" s="2" t="s">
        <v>32</v>
      </c>
      <c r="E318" s="2" t="s">
        <v>23</v>
      </c>
      <c r="F318" s="2" t="s">
        <v>24</v>
      </c>
      <c r="G318" s="2" t="s">
        <v>94</v>
      </c>
      <c r="H318" s="2" t="s">
        <v>42</v>
      </c>
      <c r="I318" s="2">
        <v>5</v>
      </c>
      <c r="J318" s="2">
        <v>9886</v>
      </c>
      <c r="K318" s="2">
        <v>5197.54</v>
      </c>
      <c r="L318" s="2">
        <v>4943</v>
      </c>
      <c r="M318" s="2">
        <v>192</v>
      </c>
      <c r="N318" s="2">
        <v>49367.46</v>
      </c>
      <c r="O318" s="2" t="s">
        <v>27</v>
      </c>
      <c r="P318" s="2">
        <v>14342</v>
      </c>
      <c r="Q318" s="2" t="s">
        <v>28</v>
      </c>
      <c r="R318" s="2" t="s">
        <v>44</v>
      </c>
      <c r="S318" s="2">
        <v>1</v>
      </c>
      <c r="T318" s="2">
        <v>2</v>
      </c>
      <c r="U318" s="2" t="str" cm="1">
        <f t="array" ref="U318">_xlfn.IFS(N318&gt;200000,"PEAK SALES",N318&gt;100000,"GOOD SALES",N318&gt;50000,"AVERAGE SALES",N318&lt;50000,"PROFIT",N318&lt;10000,"LOSS")</f>
        <v>PROFIT</v>
      </c>
      <c r="V318" s="2">
        <f t="shared" si="4"/>
        <v>4</v>
      </c>
    </row>
    <row r="319" spans="1:22" x14ac:dyDescent="0.25">
      <c r="A319" s="2">
        <v>2318</v>
      </c>
      <c r="B319" s="2" t="s">
        <v>135</v>
      </c>
      <c r="C319" s="2" t="s">
        <v>87</v>
      </c>
      <c r="D319" s="2" t="s">
        <v>59</v>
      </c>
      <c r="E319" s="2" t="s">
        <v>40</v>
      </c>
      <c r="F319" s="2" t="s">
        <v>48</v>
      </c>
      <c r="G319" s="2" t="s">
        <v>66</v>
      </c>
      <c r="H319" s="2" t="s">
        <v>36</v>
      </c>
      <c r="I319" s="2">
        <v>1</v>
      </c>
      <c r="J319" s="2">
        <v>50159</v>
      </c>
      <c r="K319" s="2">
        <v>9867.09</v>
      </c>
      <c r="L319" s="2">
        <v>5015.8999999999996</v>
      </c>
      <c r="M319" s="2">
        <v>254</v>
      </c>
      <c r="N319" s="2">
        <v>45561.81</v>
      </c>
      <c r="O319" s="2" t="s">
        <v>50</v>
      </c>
      <c r="P319" s="2">
        <v>7417</v>
      </c>
      <c r="Q319" s="2" t="s">
        <v>63</v>
      </c>
      <c r="R319" s="2" t="s">
        <v>37</v>
      </c>
      <c r="S319" s="2">
        <v>3</v>
      </c>
      <c r="T319" s="2">
        <v>2</v>
      </c>
      <c r="U319" s="2" t="str" cm="1">
        <f t="array" ref="U319">_xlfn.IFS(N319&gt;200000,"PEAK SALES",N319&gt;100000,"GOOD SALES",N319&gt;50000,"AVERAGE SALES",N319&lt;50000,"PROFIT",N319&lt;10000,"LOSS")</f>
        <v>PROFIT</v>
      </c>
      <c r="V319" s="2">
        <f t="shared" si="4"/>
        <v>3</v>
      </c>
    </row>
    <row r="320" spans="1:22" x14ac:dyDescent="0.25">
      <c r="A320" s="2">
        <v>2319</v>
      </c>
      <c r="B320" s="2" t="s">
        <v>147</v>
      </c>
      <c r="C320" s="2" t="s">
        <v>75</v>
      </c>
      <c r="D320" s="2" t="s">
        <v>59</v>
      </c>
      <c r="E320" s="2" t="s">
        <v>23</v>
      </c>
      <c r="F320" s="2" t="s">
        <v>24</v>
      </c>
      <c r="G320" s="2" t="s">
        <v>69</v>
      </c>
      <c r="H320" s="2" t="s">
        <v>36</v>
      </c>
      <c r="I320" s="2">
        <v>5</v>
      </c>
      <c r="J320" s="2">
        <v>42153</v>
      </c>
      <c r="K320" s="2">
        <v>22039.75</v>
      </c>
      <c r="L320" s="2">
        <v>21076.5</v>
      </c>
      <c r="M320" s="2">
        <v>143</v>
      </c>
      <c r="N320" s="2">
        <v>209944.75</v>
      </c>
      <c r="O320" s="2" t="s">
        <v>27</v>
      </c>
      <c r="P320" s="2">
        <v>38287</v>
      </c>
      <c r="Q320" s="2" t="s">
        <v>63</v>
      </c>
      <c r="R320" s="2" t="s">
        <v>29</v>
      </c>
      <c r="S320" s="2">
        <v>5</v>
      </c>
      <c r="T320" s="2">
        <v>5</v>
      </c>
      <c r="U320" s="2" t="str" cm="1">
        <f t="array" ref="U320">_xlfn.IFS(N320&gt;200000,"PEAK SALES",N320&gt;100000,"GOOD SALES",N320&gt;50000,"AVERAGE SALES",N320&lt;50000,"PROFIT",N320&lt;10000,"LOSS")</f>
        <v>PEAK SALES</v>
      </c>
      <c r="V320" s="2">
        <f t="shared" si="4"/>
        <v>4</v>
      </c>
    </row>
    <row r="321" spans="1:22" x14ac:dyDescent="0.25">
      <c r="A321" s="2">
        <v>2320</v>
      </c>
      <c r="B321" s="2" t="s">
        <v>20</v>
      </c>
      <c r="C321" s="2" t="s">
        <v>87</v>
      </c>
      <c r="D321" s="2" t="s">
        <v>73</v>
      </c>
      <c r="E321" s="2" t="s">
        <v>56</v>
      </c>
      <c r="F321" s="2" t="s">
        <v>34</v>
      </c>
      <c r="G321" s="2" t="s">
        <v>35</v>
      </c>
      <c r="H321" s="2" t="s">
        <v>42</v>
      </c>
      <c r="I321" s="2">
        <v>5</v>
      </c>
      <c r="J321" s="2">
        <v>12072</v>
      </c>
      <c r="K321" s="2">
        <v>3118.81</v>
      </c>
      <c r="L321" s="2">
        <v>6036</v>
      </c>
      <c r="M321" s="2">
        <v>393</v>
      </c>
      <c r="N321" s="2">
        <v>63670.19</v>
      </c>
      <c r="O321" s="2" t="s">
        <v>50</v>
      </c>
      <c r="P321" s="2">
        <v>13473</v>
      </c>
      <c r="Q321" s="2" t="s">
        <v>63</v>
      </c>
      <c r="R321" s="2" t="s">
        <v>37</v>
      </c>
      <c r="S321" s="2">
        <v>8</v>
      </c>
      <c r="T321" s="2">
        <v>4</v>
      </c>
      <c r="U321" s="2" t="str" cm="1">
        <f t="array" ref="U321">_xlfn.IFS(N321&gt;200000,"PEAK SALES",N321&gt;100000,"GOOD SALES",N321&gt;50000,"AVERAGE SALES",N321&lt;50000,"PROFIT",N321&lt;10000,"LOSS")</f>
        <v>AVERAGE SALES</v>
      </c>
      <c r="V321" s="2">
        <f t="shared" si="4"/>
        <v>3</v>
      </c>
    </row>
    <row r="322" spans="1:22" x14ac:dyDescent="0.25">
      <c r="A322" s="2">
        <v>2321</v>
      </c>
      <c r="B322" s="2" t="s">
        <v>112</v>
      </c>
      <c r="C322" s="2" t="s">
        <v>75</v>
      </c>
      <c r="D322" s="2" t="s">
        <v>32</v>
      </c>
      <c r="E322" s="2" t="s">
        <v>33</v>
      </c>
      <c r="F322" s="2" t="s">
        <v>34</v>
      </c>
      <c r="G322" s="2" t="s">
        <v>41</v>
      </c>
      <c r="H322" s="2" t="s">
        <v>61</v>
      </c>
      <c r="I322" s="2">
        <v>1</v>
      </c>
      <c r="J322" s="2">
        <v>37423</v>
      </c>
      <c r="K322" s="2">
        <v>5997.59</v>
      </c>
      <c r="L322" s="2">
        <v>3742.3</v>
      </c>
      <c r="M322" s="2">
        <v>492</v>
      </c>
      <c r="N322" s="2">
        <v>35659.71</v>
      </c>
      <c r="O322" s="2" t="s">
        <v>43</v>
      </c>
      <c r="P322" s="2">
        <v>9955</v>
      </c>
      <c r="Q322" s="2" t="s">
        <v>28</v>
      </c>
      <c r="R322" s="2" t="s">
        <v>44</v>
      </c>
      <c r="S322" s="2">
        <v>10</v>
      </c>
      <c r="T322" s="2">
        <v>3</v>
      </c>
      <c r="U322" s="2" t="str" cm="1">
        <f t="array" ref="U322">_xlfn.IFS(N322&gt;200000,"PEAK SALES",N322&gt;100000,"GOOD SALES",N322&gt;50000,"AVERAGE SALES",N322&lt;50000,"PROFIT",N322&lt;10000,"LOSS")</f>
        <v>PROFIT</v>
      </c>
      <c r="V322" s="2">
        <f t="shared" si="4"/>
        <v>1</v>
      </c>
    </row>
    <row r="323" spans="1:22" x14ac:dyDescent="0.25">
      <c r="A323" s="2">
        <v>2322</v>
      </c>
      <c r="B323" s="2" t="s">
        <v>127</v>
      </c>
      <c r="C323" s="2" t="s">
        <v>87</v>
      </c>
      <c r="D323" s="2" t="s">
        <v>32</v>
      </c>
      <c r="E323" s="2" t="s">
        <v>103</v>
      </c>
      <c r="F323" s="2" t="s">
        <v>34</v>
      </c>
      <c r="G323" s="2" t="s">
        <v>41</v>
      </c>
      <c r="H323" s="2" t="s">
        <v>36</v>
      </c>
      <c r="I323" s="2">
        <v>4</v>
      </c>
      <c r="J323" s="2">
        <v>55736</v>
      </c>
      <c r="K323" s="2">
        <v>21553.98</v>
      </c>
      <c r="L323" s="2">
        <v>22294.400000000001</v>
      </c>
      <c r="M323" s="2">
        <v>320</v>
      </c>
      <c r="N323" s="2">
        <v>224004.42</v>
      </c>
      <c r="O323" s="2" t="s">
        <v>27</v>
      </c>
      <c r="P323" s="2">
        <v>37657</v>
      </c>
      <c r="Q323" s="2" t="s">
        <v>52</v>
      </c>
      <c r="R323" s="2" t="s">
        <v>29</v>
      </c>
      <c r="S323" s="2">
        <v>8</v>
      </c>
      <c r="T323" s="2">
        <v>4</v>
      </c>
      <c r="U323" s="2" t="str" cm="1">
        <f t="array" ref="U323">_xlfn.IFS(N323&gt;200000,"PEAK SALES",N323&gt;100000,"GOOD SALES",N323&gt;50000,"AVERAGE SALES",N323&lt;50000,"PROFIT",N323&lt;10000,"LOSS")</f>
        <v>PEAK SALES</v>
      </c>
      <c r="V323" s="2">
        <f t="shared" ref="V323:V386" si="5">MONTH(B323)</f>
        <v>3</v>
      </c>
    </row>
    <row r="324" spans="1:22" x14ac:dyDescent="0.25">
      <c r="A324" s="2">
        <v>2323</v>
      </c>
      <c r="B324" s="2" t="s">
        <v>101</v>
      </c>
      <c r="C324" s="2" t="s">
        <v>75</v>
      </c>
      <c r="D324" s="2" t="s">
        <v>73</v>
      </c>
      <c r="E324" s="2" t="s">
        <v>54</v>
      </c>
      <c r="F324" s="2" t="s">
        <v>48</v>
      </c>
      <c r="G324" s="2" t="s">
        <v>49</v>
      </c>
      <c r="H324" s="2" t="s">
        <v>42</v>
      </c>
      <c r="I324" s="2">
        <v>3</v>
      </c>
      <c r="J324" s="2">
        <v>13006</v>
      </c>
      <c r="K324" s="2">
        <v>3368.61</v>
      </c>
      <c r="L324" s="2">
        <v>3901.8</v>
      </c>
      <c r="M324" s="2">
        <v>444</v>
      </c>
      <c r="N324" s="2">
        <v>39995.19</v>
      </c>
      <c r="O324" s="2" t="s">
        <v>62</v>
      </c>
      <c r="P324" s="2">
        <v>9524</v>
      </c>
      <c r="Q324" s="2" t="s">
        <v>28</v>
      </c>
      <c r="R324" s="2" t="s">
        <v>29</v>
      </c>
      <c r="S324" s="2">
        <v>1</v>
      </c>
      <c r="T324" s="2">
        <v>1</v>
      </c>
      <c r="U324" s="2" t="str" cm="1">
        <f t="array" ref="U324">_xlfn.IFS(N324&gt;200000,"PEAK SALES",N324&gt;100000,"GOOD SALES",N324&gt;50000,"AVERAGE SALES",N324&lt;50000,"PROFIT",N324&lt;10000,"LOSS")</f>
        <v>PROFIT</v>
      </c>
      <c r="V324" s="2">
        <f t="shared" si="5"/>
        <v>2</v>
      </c>
    </row>
    <row r="325" spans="1:22" x14ac:dyDescent="0.25">
      <c r="A325" s="2">
        <v>2324</v>
      </c>
      <c r="B325" s="2" t="s">
        <v>153</v>
      </c>
      <c r="C325" s="2" t="s">
        <v>87</v>
      </c>
      <c r="D325" s="2" t="s">
        <v>22</v>
      </c>
      <c r="E325" s="2" t="s">
        <v>54</v>
      </c>
      <c r="F325" s="2" t="s">
        <v>34</v>
      </c>
      <c r="G325" s="2" t="s">
        <v>35</v>
      </c>
      <c r="H325" s="2" t="s">
        <v>36</v>
      </c>
      <c r="I325" s="2">
        <v>5</v>
      </c>
      <c r="J325" s="2">
        <v>50423</v>
      </c>
      <c r="K325" s="2">
        <v>42428.18</v>
      </c>
      <c r="L325" s="2">
        <v>25211.5</v>
      </c>
      <c r="M325" s="2">
        <v>287</v>
      </c>
      <c r="N325" s="2">
        <v>235185.32</v>
      </c>
      <c r="O325" s="2" t="s">
        <v>43</v>
      </c>
      <c r="P325" s="2">
        <v>24817</v>
      </c>
      <c r="Q325" s="2" t="s">
        <v>52</v>
      </c>
      <c r="R325" s="2" t="s">
        <v>44</v>
      </c>
      <c r="S325" s="2">
        <v>3</v>
      </c>
      <c r="T325" s="2">
        <v>4</v>
      </c>
      <c r="U325" s="2" t="str" cm="1">
        <f t="array" ref="U325">_xlfn.IFS(N325&gt;200000,"PEAK SALES",N325&gt;100000,"GOOD SALES",N325&gt;50000,"AVERAGE SALES",N325&lt;50000,"PROFIT",N325&lt;10000,"LOSS")</f>
        <v>PEAK SALES</v>
      </c>
      <c r="V325" s="2">
        <f t="shared" si="5"/>
        <v>2</v>
      </c>
    </row>
    <row r="326" spans="1:22" x14ac:dyDescent="0.25">
      <c r="A326" s="2">
        <v>2325</v>
      </c>
      <c r="B326" s="2" t="s">
        <v>156</v>
      </c>
      <c r="C326" s="2" t="s">
        <v>75</v>
      </c>
      <c r="D326" s="2" t="s">
        <v>59</v>
      </c>
      <c r="E326" s="2" t="s">
        <v>23</v>
      </c>
      <c r="F326" s="2" t="s">
        <v>48</v>
      </c>
      <c r="G326" s="2" t="s">
        <v>66</v>
      </c>
      <c r="H326" s="2" t="s">
        <v>26</v>
      </c>
      <c r="I326" s="2">
        <v>4</v>
      </c>
      <c r="J326" s="2">
        <v>43867</v>
      </c>
      <c r="K326" s="2">
        <v>13801.94</v>
      </c>
      <c r="L326" s="2">
        <v>17546.8</v>
      </c>
      <c r="M326" s="2">
        <v>97</v>
      </c>
      <c r="N326" s="2">
        <v>179309.86</v>
      </c>
      <c r="O326" s="2" t="s">
        <v>50</v>
      </c>
      <c r="P326" s="2">
        <v>19565</v>
      </c>
      <c r="Q326" s="2" t="s">
        <v>28</v>
      </c>
      <c r="R326" s="2" t="s">
        <v>37</v>
      </c>
      <c r="S326" s="2">
        <v>10</v>
      </c>
      <c r="T326" s="2">
        <v>1</v>
      </c>
      <c r="U326" s="2" t="str" cm="1">
        <f t="array" ref="U326">_xlfn.IFS(N326&gt;200000,"PEAK SALES",N326&gt;100000,"GOOD SALES",N326&gt;50000,"AVERAGE SALES",N326&lt;50000,"PROFIT",N326&lt;10000,"LOSS")</f>
        <v>GOOD SALES</v>
      </c>
      <c r="V326" s="2">
        <f t="shared" si="5"/>
        <v>2</v>
      </c>
    </row>
    <row r="327" spans="1:22" x14ac:dyDescent="0.25">
      <c r="A327" s="2">
        <v>2326</v>
      </c>
      <c r="B327" s="2" t="s">
        <v>78</v>
      </c>
      <c r="C327" s="2" t="s">
        <v>46</v>
      </c>
      <c r="D327" s="2" t="s">
        <v>59</v>
      </c>
      <c r="E327" s="2" t="s">
        <v>79</v>
      </c>
      <c r="F327" s="2" t="s">
        <v>34</v>
      </c>
      <c r="G327" s="2" t="s">
        <v>60</v>
      </c>
      <c r="H327" s="2" t="s">
        <v>36</v>
      </c>
      <c r="I327" s="2">
        <v>1</v>
      </c>
      <c r="J327" s="2">
        <v>15132</v>
      </c>
      <c r="K327" s="2">
        <v>1892.05</v>
      </c>
      <c r="L327" s="2">
        <v>1513.2</v>
      </c>
      <c r="M327" s="2">
        <v>244</v>
      </c>
      <c r="N327" s="2">
        <v>14997.15</v>
      </c>
      <c r="O327" s="2" t="s">
        <v>27</v>
      </c>
      <c r="P327" s="2">
        <v>3015</v>
      </c>
      <c r="Q327" s="2" t="s">
        <v>63</v>
      </c>
      <c r="R327" s="2" t="s">
        <v>29</v>
      </c>
      <c r="S327" s="2">
        <v>9</v>
      </c>
      <c r="T327" s="2">
        <v>5</v>
      </c>
      <c r="U327" s="2" t="str" cm="1">
        <f t="array" ref="U327">_xlfn.IFS(N327&gt;200000,"PEAK SALES",N327&gt;100000,"GOOD SALES",N327&gt;50000,"AVERAGE SALES",N327&lt;50000,"PROFIT",N327&lt;10000,"LOSS")</f>
        <v>PROFIT</v>
      </c>
      <c r="V327" s="2">
        <f t="shared" si="5"/>
        <v>3</v>
      </c>
    </row>
    <row r="328" spans="1:22" x14ac:dyDescent="0.25">
      <c r="A328" s="2">
        <v>2327</v>
      </c>
      <c r="B328" s="2" t="s">
        <v>70</v>
      </c>
      <c r="C328" s="2" t="s">
        <v>72</v>
      </c>
      <c r="D328" s="2" t="s">
        <v>73</v>
      </c>
      <c r="E328" s="2" t="s">
        <v>47</v>
      </c>
      <c r="F328" s="2" t="s">
        <v>24</v>
      </c>
      <c r="G328" s="2" t="s">
        <v>69</v>
      </c>
      <c r="H328" s="2" t="s">
        <v>61</v>
      </c>
      <c r="I328" s="2">
        <v>1</v>
      </c>
      <c r="J328" s="2">
        <v>7273</v>
      </c>
      <c r="K328" s="2">
        <v>500.41</v>
      </c>
      <c r="L328" s="2">
        <v>727.3</v>
      </c>
      <c r="M328" s="2">
        <v>78</v>
      </c>
      <c r="N328" s="2">
        <v>7577.89</v>
      </c>
      <c r="O328" s="2" t="s">
        <v>50</v>
      </c>
      <c r="P328" s="2">
        <v>1731</v>
      </c>
      <c r="Q328" s="2" t="s">
        <v>28</v>
      </c>
      <c r="R328" s="2" t="s">
        <v>37</v>
      </c>
      <c r="S328" s="2">
        <v>8</v>
      </c>
      <c r="T328" s="2">
        <v>2</v>
      </c>
      <c r="U328" s="2" t="str" cm="1">
        <f t="array" ref="U328">_xlfn.IFS(N328&gt;200000,"PEAK SALES",N328&gt;100000,"GOOD SALES",N328&gt;50000,"AVERAGE SALES",N328&lt;50000,"PROFIT",N328&lt;10000,"LOSS")</f>
        <v>PROFIT</v>
      </c>
      <c r="V328" s="2">
        <f t="shared" si="5"/>
        <v>1</v>
      </c>
    </row>
    <row r="329" spans="1:22" x14ac:dyDescent="0.25">
      <c r="A329" s="2">
        <v>2328</v>
      </c>
      <c r="B329" s="2" t="s">
        <v>76</v>
      </c>
      <c r="C329" s="2" t="s">
        <v>39</v>
      </c>
      <c r="D329" s="2" t="s">
        <v>32</v>
      </c>
      <c r="E329" s="2" t="s">
        <v>79</v>
      </c>
      <c r="F329" s="2" t="s">
        <v>24</v>
      </c>
      <c r="G329" s="2" t="s">
        <v>94</v>
      </c>
      <c r="H329" s="2" t="s">
        <v>42</v>
      </c>
      <c r="I329" s="2">
        <v>3</v>
      </c>
      <c r="J329" s="2">
        <v>9563</v>
      </c>
      <c r="K329" s="2">
        <v>3914.52</v>
      </c>
      <c r="L329" s="2">
        <v>2868.9</v>
      </c>
      <c r="M329" s="2">
        <v>421</v>
      </c>
      <c r="N329" s="2">
        <v>28064.38</v>
      </c>
      <c r="O329" s="2" t="s">
        <v>62</v>
      </c>
      <c r="P329" s="2">
        <v>5581</v>
      </c>
      <c r="Q329" s="2" t="s">
        <v>63</v>
      </c>
      <c r="R329" s="2" t="s">
        <v>37</v>
      </c>
      <c r="S329" s="2">
        <v>4</v>
      </c>
      <c r="T329" s="2">
        <v>3</v>
      </c>
      <c r="U329" s="2" t="str" cm="1">
        <f t="array" ref="U329">_xlfn.IFS(N329&gt;200000,"PEAK SALES",N329&gt;100000,"GOOD SALES",N329&gt;50000,"AVERAGE SALES",N329&lt;50000,"PROFIT",N329&lt;10000,"LOSS")</f>
        <v>PROFIT</v>
      </c>
      <c r="V329" s="2">
        <f t="shared" si="5"/>
        <v>1</v>
      </c>
    </row>
    <row r="330" spans="1:22" x14ac:dyDescent="0.25">
      <c r="A330" s="2">
        <v>2329</v>
      </c>
      <c r="B330" s="2" t="s">
        <v>92</v>
      </c>
      <c r="C330" s="2" t="s">
        <v>46</v>
      </c>
      <c r="D330" s="2" t="s">
        <v>59</v>
      </c>
      <c r="E330" s="2" t="s">
        <v>56</v>
      </c>
      <c r="F330" s="2" t="s">
        <v>48</v>
      </c>
      <c r="G330" s="2" t="s">
        <v>66</v>
      </c>
      <c r="H330" s="2" t="s">
        <v>61</v>
      </c>
      <c r="I330" s="2">
        <v>5</v>
      </c>
      <c r="J330" s="2">
        <v>55188</v>
      </c>
      <c r="K330" s="2">
        <v>31304.03</v>
      </c>
      <c r="L330" s="2">
        <v>27594</v>
      </c>
      <c r="M330" s="2">
        <v>495</v>
      </c>
      <c r="N330" s="2">
        <v>272724.96999999997</v>
      </c>
      <c r="O330" s="2" t="s">
        <v>43</v>
      </c>
      <c r="P330" s="2">
        <v>33148</v>
      </c>
      <c r="Q330" s="2" t="s">
        <v>63</v>
      </c>
      <c r="R330" s="2" t="s">
        <v>37</v>
      </c>
      <c r="S330" s="2">
        <v>8</v>
      </c>
      <c r="T330" s="2">
        <v>4</v>
      </c>
      <c r="U330" s="2" t="str" cm="1">
        <f t="array" ref="U330">_xlfn.IFS(N330&gt;200000,"PEAK SALES",N330&gt;100000,"GOOD SALES",N330&gt;50000,"AVERAGE SALES",N330&lt;50000,"PROFIT",N330&lt;10000,"LOSS")</f>
        <v>PEAK SALES</v>
      </c>
      <c r="V330" s="2">
        <f t="shared" si="5"/>
        <v>1</v>
      </c>
    </row>
    <row r="331" spans="1:22" x14ac:dyDescent="0.25">
      <c r="A331" s="2">
        <v>2330</v>
      </c>
      <c r="B331" s="2" t="s">
        <v>95</v>
      </c>
      <c r="C331" s="2" t="s">
        <v>31</v>
      </c>
      <c r="D331" s="2" t="s">
        <v>22</v>
      </c>
      <c r="E331" s="2" t="s">
        <v>23</v>
      </c>
      <c r="F331" s="2" t="s">
        <v>34</v>
      </c>
      <c r="G331" s="2" t="s">
        <v>41</v>
      </c>
      <c r="H331" s="2" t="s">
        <v>61</v>
      </c>
      <c r="I331" s="2">
        <v>1</v>
      </c>
      <c r="J331" s="2">
        <v>12387</v>
      </c>
      <c r="K331" s="2">
        <v>1442.51</v>
      </c>
      <c r="L331" s="2">
        <v>1238.7</v>
      </c>
      <c r="M331" s="2">
        <v>399</v>
      </c>
      <c r="N331" s="2">
        <v>12582.19</v>
      </c>
      <c r="O331" s="2" t="s">
        <v>50</v>
      </c>
      <c r="P331" s="2">
        <v>1587</v>
      </c>
      <c r="Q331" s="2" t="s">
        <v>28</v>
      </c>
      <c r="R331" s="2" t="s">
        <v>44</v>
      </c>
      <c r="S331" s="2">
        <v>6</v>
      </c>
      <c r="T331" s="2">
        <v>5</v>
      </c>
      <c r="U331" s="2" t="str" cm="1">
        <f t="array" ref="U331">_xlfn.IFS(N331&gt;200000,"PEAK SALES",N331&gt;100000,"GOOD SALES",N331&gt;50000,"AVERAGE SALES",N331&lt;50000,"PROFIT",N331&lt;10000,"LOSS")</f>
        <v>PROFIT</v>
      </c>
      <c r="V331" s="2">
        <f t="shared" si="5"/>
        <v>4</v>
      </c>
    </row>
    <row r="332" spans="1:22" x14ac:dyDescent="0.25">
      <c r="A332" s="2">
        <v>2331</v>
      </c>
      <c r="B332" s="2" t="s">
        <v>165</v>
      </c>
      <c r="C332" s="2" t="s">
        <v>31</v>
      </c>
      <c r="D332" s="2" t="s">
        <v>59</v>
      </c>
      <c r="E332" s="2" t="s">
        <v>23</v>
      </c>
      <c r="F332" s="2" t="s">
        <v>24</v>
      </c>
      <c r="G332" s="2" t="s">
        <v>25</v>
      </c>
      <c r="H332" s="2" t="s">
        <v>26</v>
      </c>
      <c r="I332" s="2">
        <v>1</v>
      </c>
      <c r="J332" s="2">
        <v>13640</v>
      </c>
      <c r="K332" s="2">
        <v>2423.89</v>
      </c>
      <c r="L332" s="2">
        <v>1364</v>
      </c>
      <c r="M332" s="2">
        <v>61</v>
      </c>
      <c r="N332" s="2">
        <v>12641.11</v>
      </c>
      <c r="O332" s="2" t="s">
        <v>43</v>
      </c>
      <c r="P332" s="2">
        <v>3016</v>
      </c>
      <c r="Q332" s="2" t="s">
        <v>28</v>
      </c>
      <c r="R332" s="2" t="s">
        <v>29</v>
      </c>
      <c r="S332" s="2">
        <v>9</v>
      </c>
      <c r="T332" s="2">
        <v>1</v>
      </c>
      <c r="U332" s="2" t="str" cm="1">
        <f t="array" ref="U332">_xlfn.IFS(N332&gt;200000,"PEAK SALES",N332&gt;100000,"GOOD SALES",N332&gt;50000,"AVERAGE SALES",N332&lt;50000,"PROFIT",N332&lt;10000,"LOSS")</f>
        <v>PROFIT</v>
      </c>
      <c r="V332" s="2">
        <f t="shared" si="5"/>
        <v>2</v>
      </c>
    </row>
    <row r="333" spans="1:22" x14ac:dyDescent="0.25">
      <c r="A333" s="2">
        <v>2332</v>
      </c>
      <c r="B333" s="2" t="s">
        <v>57</v>
      </c>
      <c r="C333" s="2" t="s">
        <v>39</v>
      </c>
      <c r="D333" s="2" t="s">
        <v>32</v>
      </c>
      <c r="E333" s="2" t="s">
        <v>103</v>
      </c>
      <c r="F333" s="2" t="s">
        <v>24</v>
      </c>
      <c r="G333" s="2" t="s">
        <v>94</v>
      </c>
      <c r="H333" s="2" t="s">
        <v>26</v>
      </c>
      <c r="I333" s="2">
        <v>3</v>
      </c>
      <c r="J333" s="2">
        <v>27513</v>
      </c>
      <c r="K333" s="2">
        <v>15393.9</v>
      </c>
      <c r="L333" s="2">
        <v>8253.9</v>
      </c>
      <c r="M333" s="2">
        <v>472</v>
      </c>
      <c r="N333" s="2">
        <v>75871</v>
      </c>
      <c r="O333" s="2" t="s">
        <v>50</v>
      </c>
      <c r="P333" s="2">
        <v>8985</v>
      </c>
      <c r="Q333" s="2" t="s">
        <v>52</v>
      </c>
      <c r="R333" s="2" t="s">
        <v>44</v>
      </c>
      <c r="S333" s="2">
        <v>1</v>
      </c>
      <c r="T333" s="2">
        <v>5</v>
      </c>
      <c r="U333" s="2" t="str" cm="1">
        <f t="array" ref="U333">_xlfn.IFS(N333&gt;200000,"PEAK SALES",N333&gt;100000,"GOOD SALES",N333&gt;50000,"AVERAGE SALES",N333&lt;50000,"PROFIT",N333&lt;10000,"LOSS")</f>
        <v>AVERAGE SALES</v>
      </c>
      <c r="V333" s="2">
        <f t="shared" si="5"/>
        <v>1</v>
      </c>
    </row>
    <row r="334" spans="1:22" x14ac:dyDescent="0.25">
      <c r="A334" s="2">
        <v>2333</v>
      </c>
      <c r="B334" s="2" t="s">
        <v>131</v>
      </c>
      <c r="C334" s="2" t="s">
        <v>65</v>
      </c>
      <c r="D334" s="2" t="s">
        <v>32</v>
      </c>
      <c r="E334" s="2" t="s">
        <v>79</v>
      </c>
      <c r="F334" s="2" t="s">
        <v>24</v>
      </c>
      <c r="G334" s="2" t="s">
        <v>25</v>
      </c>
      <c r="H334" s="2" t="s">
        <v>36</v>
      </c>
      <c r="I334" s="2">
        <v>1</v>
      </c>
      <c r="J334" s="2">
        <v>59427</v>
      </c>
      <c r="K334" s="2">
        <v>8136.26</v>
      </c>
      <c r="L334" s="2">
        <v>5942.7</v>
      </c>
      <c r="M334" s="2">
        <v>312</v>
      </c>
      <c r="N334" s="2">
        <v>57545.440000000002</v>
      </c>
      <c r="O334" s="2" t="s">
        <v>50</v>
      </c>
      <c r="P334" s="2">
        <v>12065</v>
      </c>
      <c r="Q334" s="2" t="s">
        <v>28</v>
      </c>
      <c r="R334" s="2" t="s">
        <v>37</v>
      </c>
      <c r="S334" s="2">
        <v>3</v>
      </c>
      <c r="T334" s="2">
        <v>5</v>
      </c>
      <c r="U334" s="2" t="str" cm="1">
        <f t="array" ref="U334">_xlfn.IFS(N334&gt;200000,"PEAK SALES",N334&gt;100000,"GOOD SALES",N334&gt;50000,"AVERAGE SALES",N334&lt;50000,"PROFIT",N334&lt;10000,"LOSS")</f>
        <v>AVERAGE SALES</v>
      </c>
      <c r="V334" s="2">
        <f t="shared" si="5"/>
        <v>1</v>
      </c>
    </row>
    <row r="335" spans="1:22" x14ac:dyDescent="0.25">
      <c r="A335" s="2">
        <v>2334</v>
      </c>
      <c r="B335" s="2" t="s">
        <v>145</v>
      </c>
      <c r="C335" s="2" t="s">
        <v>58</v>
      </c>
      <c r="D335" s="2" t="s">
        <v>73</v>
      </c>
      <c r="E335" s="2" t="s">
        <v>33</v>
      </c>
      <c r="F335" s="2" t="s">
        <v>48</v>
      </c>
      <c r="G335" s="2" t="s">
        <v>66</v>
      </c>
      <c r="H335" s="2" t="s">
        <v>42</v>
      </c>
      <c r="I335" s="2">
        <v>5</v>
      </c>
      <c r="J335" s="2">
        <v>35813</v>
      </c>
      <c r="K335" s="2">
        <v>29473.34</v>
      </c>
      <c r="L335" s="2">
        <v>17906.5</v>
      </c>
      <c r="M335" s="2">
        <v>186</v>
      </c>
      <c r="N335" s="2">
        <v>167684.16</v>
      </c>
      <c r="O335" s="2" t="s">
        <v>50</v>
      </c>
      <c r="P335" s="2">
        <v>35581</v>
      </c>
      <c r="Q335" s="2" t="s">
        <v>63</v>
      </c>
      <c r="R335" s="2" t="s">
        <v>37</v>
      </c>
      <c r="S335" s="2">
        <v>3</v>
      </c>
      <c r="T335" s="2">
        <v>5</v>
      </c>
      <c r="U335" s="2" t="str" cm="1">
        <f t="array" ref="U335">_xlfn.IFS(N335&gt;200000,"PEAK SALES",N335&gt;100000,"GOOD SALES",N335&gt;50000,"AVERAGE SALES",N335&lt;50000,"PROFIT",N335&lt;10000,"LOSS")</f>
        <v>GOOD SALES</v>
      </c>
      <c r="V335" s="2">
        <f t="shared" si="5"/>
        <v>4</v>
      </c>
    </row>
    <row r="336" spans="1:22" x14ac:dyDescent="0.25">
      <c r="A336" s="2">
        <v>2335</v>
      </c>
      <c r="B336" s="2" t="s">
        <v>158</v>
      </c>
      <c r="C336" s="2" t="s">
        <v>65</v>
      </c>
      <c r="D336" s="2" t="s">
        <v>59</v>
      </c>
      <c r="E336" s="2" t="s">
        <v>56</v>
      </c>
      <c r="F336" s="2" t="s">
        <v>24</v>
      </c>
      <c r="G336" s="2" t="s">
        <v>69</v>
      </c>
      <c r="H336" s="2" t="s">
        <v>26</v>
      </c>
      <c r="I336" s="2">
        <v>1</v>
      </c>
      <c r="J336" s="2">
        <v>9688</v>
      </c>
      <c r="K336" s="2">
        <v>1423.84</v>
      </c>
      <c r="L336" s="2">
        <v>968.8</v>
      </c>
      <c r="M336" s="2">
        <v>372</v>
      </c>
      <c r="N336" s="2">
        <v>9604.9599999999991</v>
      </c>
      <c r="O336" s="2" t="s">
        <v>43</v>
      </c>
      <c r="P336" s="2">
        <v>2513</v>
      </c>
      <c r="Q336" s="2" t="s">
        <v>28</v>
      </c>
      <c r="R336" s="2" t="s">
        <v>29</v>
      </c>
      <c r="S336" s="2">
        <v>6</v>
      </c>
      <c r="T336" s="2">
        <v>5</v>
      </c>
      <c r="U336" s="2" t="str" cm="1">
        <f t="array" ref="U336">_xlfn.IFS(N336&gt;200000,"PEAK SALES",N336&gt;100000,"GOOD SALES",N336&gt;50000,"AVERAGE SALES",N336&lt;50000,"PROFIT",N336&lt;10000,"LOSS")</f>
        <v>PROFIT</v>
      </c>
      <c r="V336" s="2">
        <f t="shared" si="5"/>
        <v>1</v>
      </c>
    </row>
    <row r="337" spans="1:22" x14ac:dyDescent="0.25">
      <c r="A337" s="2">
        <v>2336</v>
      </c>
      <c r="B337" s="2" t="s">
        <v>139</v>
      </c>
      <c r="C337" s="2" t="s">
        <v>58</v>
      </c>
      <c r="D337" s="2" t="s">
        <v>59</v>
      </c>
      <c r="E337" s="2" t="s">
        <v>40</v>
      </c>
      <c r="F337" s="2" t="s">
        <v>34</v>
      </c>
      <c r="G337" s="2" t="s">
        <v>35</v>
      </c>
      <c r="H337" s="2" t="s">
        <v>26</v>
      </c>
      <c r="I337" s="2">
        <v>4</v>
      </c>
      <c r="J337" s="2">
        <v>12068</v>
      </c>
      <c r="K337" s="2">
        <v>5425.13</v>
      </c>
      <c r="L337" s="2">
        <v>4827.2</v>
      </c>
      <c r="M337" s="2">
        <v>427</v>
      </c>
      <c r="N337" s="2">
        <v>48101.07</v>
      </c>
      <c r="O337" s="2" t="s">
        <v>27</v>
      </c>
      <c r="P337" s="2">
        <v>10559</v>
      </c>
      <c r="Q337" s="2" t="s">
        <v>63</v>
      </c>
      <c r="R337" s="2" t="s">
        <v>37</v>
      </c>
      <c r="S337" s="2">
        <v>10</v>
      </c>
      <c r="T337" s="2">
        <v>4</v>
      </c>
      <c r="U337" s="2" t="str" cm="1">
        <f t="array" ref="U337">_xlfn.IFS(N337&gt;200000,"PEAK SALES",N337&gt;100000,"GOOD SALES",N337&gt;50000,"AVERAGE SALES",N337&lt;50000,"PROFIT",N337&lt;10000,"LOSS")</f>
        <v>PROFIT</v>
      </c>
      <c r="V337" s="2">
        <f t="shared" si="5"/>
        <v>3</v>
      </c>
    </row>
    <row r="338" spans="1:22" x14ac:dyDescent="0.25">
      <c r="A338" s="2">
        <v>2337</v>
      </c>
      <c r="B338" s="2" t="s">
        <v>157</v>
      </c>
      <c r="C338" s="2" t="s">
        <v>46</v>
      </c>
      <c r="D338" s="2" t="s">
        <v>22</v>
      </c>
      <c r="E338" s="2" t="s">
        <v>23</v>
      </c>
      <c r="F338" s="2" t="s">
        <v>48</v>
      </c>
      <c r="G338" s="2" t="s">
        <v>77</v>
      </c>
      <c r="H338" s="2" t="s">
        <v>42</v>
      </c>
      <c r="I338" s="2">
        <v>1</v>
      </c>
      <c r="J338" s="2">
        <v>10669</v>
      </c>
      <c r="K338" s="2">
        <v>1678.66</v>
      </c>
      <c r="L338" s="2">
        <v>1066.9000000000001</v>
      </c>
      <c r="M338" s="2">
        <v>166</v>
      </c>
      <c r="N338" s="2">
        <v>10223.24</v>
      </c>
      <c r="O338" s="2" t="s">
        <v>43</v>
      </c>
      <c r="P338" s="2">
        <v>2997</v>
      </c>
      <c r="Q338" s="2" t="s">
        <v>28</v>
      </c>
      <c r="R338" s="2" t="s">
        <v>29</v>
      </c>
      <c r="S338" s="2">
        <v>10</v>
      </c>
      <c r="T338" s="2">
        <v>5</v>
      </c>
      <c r="U338" s="2" t="str" cm="1">
        <f t="array" ref="U338">_xlfn.IFS(N338&gt;200000,"PEAK SALES",N338&gt;100000,"GOOD SALES",N338&gt;50000,"AVERAGE SALES",N338&lt;50000,"PROFIT",N338&lt;10000,"LOSS")</f>
        <v>PROFIT</v>
      </c>
      <c r="V338" s="2">
        <f t="shared" si="5"/>
        <v>3</v>
      </c>
    </row>
    <row r="339" spans="1:22" x14ac:dyDescent="0.25">
      <c r="A339" s="2">
        <v>2338</v>
      </c>
      <c r="B339" s="2" t="s">
        <v>177</v>
      </c>
      <c r="C339" s="2" t="s">
        <v>46</v>
      </c>
      <c r="D339" s="2" t="s">
        <v>22</v>
      </c>
      <c r="E339" s="2" t="s">
        <v>23</v>
      </c>
      <c r="F339" s="2" t="s">
        <v>48</v>
      </c>
      <c r="G339" s="2" t="s">
        <v>49</v>
      </c>
      <c r="H339" s="2" t="s">
        <v>26</v>
      </c>
      <c r="I339" s="2">
        <v>1</v>
      </c>
      <c r="J339" s="2">
        <v>21879</v>
      </c>
      <c r="K339" s="2">
        <v>1193.69</v>
      </c>
      <c r="L339" s="2">
        <v>2187.9</v>
      </c>
      <c r="M339" s="2">
        <v>381</v>
      </c>
      <c r="N339" s="2">
        <v>23254.21</v>
      </c>
      <c r="O339" s="2" t="s">
        <v>50</v>
      </c>
      <c r="P339" s="2">
        <v>2628</v>
      </c>
      <c r="Q339" s="2" t="s">
        <v>63</v>
      </c>
      <c r="R339" s="2" t="s">
        <v>37</v>
      </c>
      <c r="S339" s="2">
        <v>4</v>
      </c>
      <c r="T339" s="2">
        <v>2</v>
      </c>
      <c r="U339" s="2" t="str" cm="1">
        <f t="array" ref="U339">_xlfn.IFS(N339&gt;200000,"PEAK SALES",N339&gt;100000,"GOOD SALES",N339&gt;50000,"AVERAGE SALES",N339&lt;50000,"PROFIT",N339&lt;10000,"LOSS")</f>
        <v>PROFIT</v>
      </c>
      <c r="V339" s="2">
        <f t="shared" si="5"/>
        <v>4</v>
      </c>
    </row>
    <row r="340" spans="1:22" x14ac:dyDescent="0.25">
      <c r="A340" s="2">
        <v>2339</v>
      </c>
      <c r="B340" s="2" t="s">
        <v>120</v>
      </c>
      <c r="C340" s="2" t="s">
        <v>46</v>
      </c>
      <c r="D340" s="2" t="s">
        <v>59</v>
      </c>
      <c r="E340" s="2" t="s">
        <v>47</v>
      </c>
      <c r="F340" s="2" t="s">
        <v>24</v>
      </c>
      <c r="G340" s="2" t="s">
        <v>25</v>
      </c>
      <c r="H340" s="2" t="s">
        <v>42</v>
      </c>
      <c r="I340" s="2">
        <v>2</v>
      </c>
      <c r="J340" s="2">
        <v>34104</v>
      </c>
      <c r="K340" s="2">
        <v>10935.97</v>
      </c>
      <c r="L340" s="2">
        <v>6820.8</v>
      </c>
      <c r="M340" s="2">
        <v>279</v>
      </c>
      <c r="N340" s="2">
        <v>64371.83</v>
      </c>
      <c r="O340" s="2" t="s">
        <v>27</v>
      </c>
      <c r="P340" s="2">
        <v>14178</v>
      </c>
      <c r="Q340" s="2" t="s">
        <v>63</v>
      </c>
      <c r="R340" s="2" t="s">
        <v>44</v>
      </c>
      <c r="S340" s="2">
        <v>9</v>
      </c>
      <c r="T340" s="2">
        <v>3</v>
      </c>
      <c r="U340" s="2" t="str" cm="1">
        <f t="array" ref="U340">_xlfn.IFS(N340&gt;200000,"PEAK SALES",N340&gt;100000,"GOOD SALES",N340&gt;50000,"AVERAGE SALES",N340&lt;50000,"PROFIT",N340&lt;10000,"LOSS")</f>
        <v>AVERAGE SALES</v>
      </c>
      <c r="V340" s="2">
        <f t="shared" si="5"/>
        <v>4</v>
      </c>
    </row>
    <row r="341" spans="1:22" x14ac:dyDescent="0.25">
      <c r="A341" s="2">
        <v>2340</v>
      </c>
      <c r="B341" s="2" t="s">
        <v>114</v>
      </c>
      <c r="C341" s="2" t="s">
        <v>46</v>
      </c>
      <c r="D341" s="2" t="s">
        <v>73</v>
      </c>
      <c r="E341" s="2" t="s">
        <v>56</v>
      </c>
      <c r="F341" s="2" t="s">
        <v>34</v>
      </c>
      <c r="G341" s="2" t="s">
        <v>35</v>
      </c>
      <c r="H341" s="2" t="s">
        <v>61</v>
      </c>
      <c r="I341" s="2">
        <v>5</v>
      </c>
      <c r="J341" s="2">
        <v>3457</v>
      </c>
      <c r="K341" s="2">
        <v>1568.47</v>
      </c>
      <c r="L341" s="2">
        <v>1728.5</v>
      </c>
      <c r="M341" s="2">
        <v>125</v>
      </c>
      <c r="N341" s="2">
        <v>17570.03</v>
      </c>
      <c r="O341" s="2" t="s">
        <v>62</v>
      </c>
      <c r="P341" s="2">
        <v>4321</v>
      </c>
      <c r="Q341" s="2" t="s">
        <v>28</v>
      </c>
      <c r="R341" s="2" t="s">
        <v>44</v>
      </c>
      <c r="S341" s="2">
        <v>8</v>
      </c>
      <c r="T341" s="2">
        <v>1</v>
      </c>
      <c r="U341" s="2" t="str" cm="1">
        <f t="array" ref="U341">_xlfn.IFS(N341&gt;200000,"PEAK SALES",N341&gt;100000,"GOOD SALES",N341&gt;50000,"AVERAGE SALES",N341&lt;50000,"PROFIT",N341&lt;10000,"LOSS")</f>
        <v>PROFIT</v>
      </c>
      <c r="V341" s="2">
        <f t="shared" si="5"/>
        <v>1</v>
      </c>
    </row>
    <row r="342" spans="1:22" x14ac:dyDescent="0.25">
      <c r="A342" s="2">
        <v>2341</v>
      </c>
      <c r="B342" s="2" t="s">
        <v>147</v>
      </c>
      <c r="C342" s="2" t="s">
        <v>39</v>
      </c>
      <c r="D342" s="2" t="s">
        <v>59</v>
      </c>
      <c r="E342" s="2" t="s">
        <v>56</v>
      </c>
      <c r="F342" s="2" t="s">
        <v>34</v>
      </c>
      <c r="G342" s="2" t="s">
        <v>41</v>
      </c>
      <c r="H342" s="2" t="s">
        <v>36</v>
      </c>
      <c r="I342" s="2">
        <v>5</v>
      </c>
      <c r="J342" s="2">
        <v>17279</v>
      </c>
      <c r="K342" s="2">
        <v>10115.74</v>
      </c>
      <c r="L342" s="2">
        <v>8639.5</v>
      </c>
      <c r="M342" s="2">
        <v>96</v>
      </c>
      <c r="N342" s="2">
        <v>85014.76</v>
      </c>
      <c r="O342" s="2" t="s">
        <v>27</v>
      </c>
      <c r="P342" s="2">
        <v>11792</v>
      </c>
      <c r="Q342" s="2" t="s">
        <v>28</v>
      </c>
      <c r="R342" s="2" t="s">
        <v>29</v>
      </c>
      <c r="S342" s="2">
        <v>10</v>
      </c>
      <c r="T342" s="2">
        <v>3</v>
      </c>
      <c r="U342" s="2" t="str" cm="1">
        <f t="array" ref="U342">_xlfn.IFS(N342&gt;200000,"PEAK SALES",N342&gt;100000,"GOOD SALES",N342&gt;50000,"AVERAGE SALES",N342&lt;50000,"PROFIT",N342&lt;10000,"LOSS")</f>
        <v>AVERAGE SALES</v>
      </c>
      <c r="V342" s="2">
        <f t="shared" si="5"/>
        <v>4</v>
      </c>
    </row>
    <row r="343" spans="1:22" x14ac:dyDescent="0.25">
      <c r="A343" s="2">
        <v>2342</v>
      </c>
      <c r="B343" s="2" t="s">
        <v>71</v>
      </c>
      <c r="C343" s="2" t="s">
        <v>75</v>
      </c>
      <c r="D343" s="2" t="s">
        <v>32</v>
      </c>
      <c r="E343" s="2" t="s">
        <v>103</v>
      </c>
      <c r="F343" s="2" t="s">
        <v>48</v>
      </c>
      <c r="G343" s="2" t="s">
        <v>77</v>
      </c>
      <c r="H343" s="2" t="s">
        <v>42</v>
      </c>
      <c r="I343" s="2">
        <v>4</v>
      </c>
      <c r="J343" s="2">
        <v>2868</v>
      </c>
      <c r="K343" s="2">
        <v>1414.37</v>
      </c>
      <c r="L343" s="2">
        <v>1147.2</v>
      </c>
      <c r="M343" s="2">
        <v>127</v>
      </c>
      <c r="N343" s="2">
        <v>11331.83</v>
      </c>
      <c r="O343" s="2" t="s">
        <v>50</v>
      </c>
      <c r="P343" s="2">
        <v>3162</v>
      </c>
      <c r="Q343" s="2" t="s">
        <v>52</v>
      </c>
      <c r="R343" s="2" t="s">
        <v>44</v>
      </c>
      <c r="S343" s="2">
        <v>2</v>
      </c>
      <c r="T343" s="2">
        <v>1</v>
      </c>
      <c r="U343" s="2" t="str" cm="1">
        <f t="array" ref="U343">_xlfn.IFS(N343&gt;200000,"PEAK SALES",N343&gt;100000,"GOOD SALES",N343&gt;50000,"AVERAGE SALES",N343&lt;50000,"PROFIT",N343&lt;10000,"LOSS")</f>
        <v>PROFIT</v>
      </c>
      <c r="V343" s="2">
        <f t="shared" si="5"/>
        <v>3</v>
      </c>
    </row>
    <row r="344" spans="1:22" x14ac:dyDescent="0.25">
      <c r="A344" s="2">
        <v>2343</v>
      </c>
      <c r="B344" s="2" t="s">
        <v>76</v>
      </c>
      <c r="C344" s="2" t="s">
        <v>58</v>
      </c>
      <c r="D344" s="2" t="s">
        <v>59</v>
      </c>
      <c r="E344" s="2" t="s">
        <v>56</v>
      </c>
      <c r="F344" s="2" t="s">
        <v>24</v>
      </c>
      <c r="G344" s="2" t="s">
        <v>25</v>
      </c>
      <c r="H344" s="2" t="s">
        <v>61</v>
      </c>
      <c r="I344" s="2">
        <v>5</v>
      </c>
      <c r="J344" s="2">
        <v>40718</v>
      </c>
      <c r="K344" s="2">
        <v>10931.99</v>
      </c>
      <c r="L344" s="2">
        <v>20359</v>
      </c>
      <c r="M344" s="2">
        <v>184</v>
      </c>
      <c r="N344" s="2">
        <v>213201.01</v>
      </c>
      <c r="O344" s="2" t="s">
        <v>27</v>
      </c>
      <c r="P344" s="2">
        <v>63736</v>
      </c>
      <c r="Q344" s="2" t="s">
        <v>63</v>
      </c>
      <c r="R344" s="2" t="s">
        <v>44</v>
      </c>
      <c r="S344" s="2">
        <v>2</v>
      </c>
      <c r="T344" s="2">
        <v>4</v>
      </c>
      <c r="U344" s="2" t="str" cm="1">
        <f t="array" ref="U344">_xlfn.IFS(N344&gt;200000,"PEAK SALES",N344&gt;100000,"GOOD SALES",N344&gt;50000,"AVERAGE SALES",N344&lt;50000,"PROFIT",N344&lt;10000,"LOSS")</f>
        <v>PEAK SALES</v>
      </c>
      <c r="V344" s="2">
        <f t="shared" si="5"/>
        <v>1</v>
      </c>
    </row>
    <row r="345" spans="1:22" x14ac:dyDescent="0.25">
      <c r="A345" s="2">
        <v>2344</v>
      </c>
      <c r="B345" s="2" t="s">
        <v>178</v>
      </c>
      <c r="C345" s="2" t="s">
        <v>65</v>
      </c>
      <c r="D345" s="2" t="s">
        <v>59</v>
      </c>
      <c r="E345" s="2" t="s">
        <v>47</v>
      </c>
      <c r="F345" s="2" t="s">
        <v>24</v>
      </c>
      <c r="G345" s="2" t="s">
        <v>94</v>
      </c>
      <c r="H345" s="2" t="s">
        <v>42</v>
      </c>
      <c r="I345" s="2">
        <v>1</v>
      </c>
      <c r="J345" s="2">
        <v>49965</v>
      </c>
      <c r="K345" s="2">
        <v>8780.01</v>
      </c>
      <c r="L345" s="2">
        <v>4996.5</v>
      </c>
      <c r="M345" s="2">
        <v>318</v>
      </c>
      <c r="N345" s="2">
        <v>46499.49</v>
      </c>
      <c r="O345" s="2" t="s">
        <v>62</v>
      </c>
      <c r="P345" s="2">
        <v>8015</v>
      </c>
      <c r="Q345" s="2" t="s">
        <v>63</v>
      </c>
      <c r="R345" s="2" t="s">
        <v>37</v>
      </c>
      <c r="S345" s="2">
        <v>5</v>
      </c>
      <c r="T345" s="2">
        <v>5</v>
      </c>
      <c r="U345" s="2" t="str" cm="1">
        <f t="array" ref="U345">_xlfn.IFS(N345&gt;200000,"PEAK SALES",N345&gt;100000,"GOOD SALES",N345&gt;50000,"AVERAGE SALES",N345&lt;50000,"PROFIT",N345&lt;10000,"LOSS")</f>
        <v>PROFIT</v>
      </c>
      <c r="V345" s="2">
        <f t="shared" si="5"/>
        <v>3</v>
      </c>
    </row>
    <row r="346" spans="1:22" x14ac:dyDescent="0.25">
      <c r="A346" s="2">
        <v>2345</v>
      </c>
      <c r="B346" s="2" t="s">
        <v>104</v>
      </c>
      <c r="C346" s="2" t="s">
        <v>21</v>
      </c>
      <c r="D346" s="2" t="s">
        <v>22</v>
      </c>
      <c r="E346" s="2" t="s">
        <v>33</v>
      </c>
      <c r="F346" s="2" t="s">
        <v>48</v>
      </c>
      <c r="G346" s="2" t="s">
        <v>49</v>
      </c>
      <c r="H346" s="2" t="s">
        <v>61</v>
      </c>
      <c r="I346" s="2">
        <v>1</v>
      </c>
      <c r="J346" s="2">
        <v>27745</v>
      </c>
      <c r="K346" s="2">
        <v>5067.88</v>
      </c>
      <c r="L346" s="2">
        <v>2774.5</v>
      </c>
      <c r="M346" s="2">
        <v>427</v>
      </c>
      <c r="N346" s="2">
        <v>25878.62</v>
      </c>
      <c r="O346" s="2" t="s">
        <v>50</v>
      </c>
      <c r="P346" s="2">
        <v>3095</v>
      </c>
      <c r="Q346" s="2" t="s">
        <v>52</v>
      </c>
      <c r="R346" s="2" t="s">
        <v>37</v>
      </c>
      <c r="S346" s="2">
        <v>7</v>
      </c>
      <c r="T346" s="2">
        <v>4</v>
      </c>
      <c r="U346" s="2" t="str" cm="1">
        <f t="array" ref="U346">_xlfn.IFS(N346&gt;200000,"PEAK SALES",N346&gt;100000,"GOOD SALES",N346&gt;50000,"AVERAGE SALES",N346&lt;50000,"PROFIT",N346&lt;10000,"LOSS")</f>
        <v>PROFIT</v>
      </c>
      <c r="V346" s="2">
        <f t="shared" si="5"/>
        <v>3</v>
      </c>
    </row>
    <row r="347" spans="1:22" x14ac:dyDescent="0.25">
      <c r="A347" s="2">
        <v>2346</v>
      </c>
      <c r="B347" s="2" t="s">
        <v>81</v>
      </c>
      <c r="C347" s="2" t="s">
        <v>46</v>
      </c>
      <c r="D347" s="2" t="s">
        <v>73</v>
      </c>
      <c r="E347" s="2" t="s">
        <v>40</v>
      </c>
      <c r="F347" s="2" t="s">
        <v>48</v>
      </c>
      <c r="G347" s="2" t="s">
        <v>77</v>
      </c>
      <c r="H347" s="2" t="s">
        <v>42</v>
      </c>
      <c r="I347" s="2">
        <v>2</v>
      </c>
      <c r="J347" s="2">
        <v>59422</v>
      </c>
      <c r="K347" s="2">
        <v>9494.92</v>
      </c>
      <c r="L347" s="2">
        <v>11884.4</v>
      </c>
      <c r="M347" s="2">
        <v>330</v>
      </c>
      <c r="N347" s="2">
        <v>121563.48</v>
      </c>
      <c r="O347" s="2" t="s">
        <v>50</v>
      </c>
      <c r="P347" s="2">
        <v>21550</v>
      </c>
      <c r="Q347" s="2" t="s">
        <v>63</v>
      </c>
      <c r="R347" s="2" t="s">
        <v>37</v>
      </c>
      <c r="S347" s="2">
        <v>6</v>
      </c>
      <c r="T347" s="2">
        <v>3</v>
      </c>
      <c r="U347" s="2" t="str" cm="1">
        <f t="array" ref="U347">_xlfn.IFS(N347&gt;200000,"PEAK SALES",N347&gt;100000,"GOOD SALES",N347&gt;50000,"AVERAGE SALES",N347&lt;50000,"PROFIT",N347&lt;10000,"LOSS")</f>
        <v>GOOD SALES</v>
      </c>
      <c r="V347" s="2">
        <f t="shared" si="5"/>
        <v>4</v>
      </c>
    </row>
    <row r="348" spans="1:22" x14ac:dyDescent="0.25">
      <c r="A348" s="2">
        <v>2347</v>
      </c>
      <c r="B348" s="2" t="s">
        <v>151</v>
      </c>
      <c r="C348" s="2" t="s">
        <v>68</v>
      </c>
      <c r="D348" s="2" t="s">
        <v>59</v>
      </c>
      <c r="E348" s="2" t="s">
        <v>23</v>
      </c>
      <c r="F348" s="2" t="s">
        <v>34</v>
      </c>
      <c r="G348" s="2" t="s">
        <v>35</v>
      </c>
      <c r="H348" s="2" t="s">
        <v>26</v>
      </c>
      <c r="I348" s="2">
        <v>4</v>
      </c>
      <c r="J348" s="2">
        <v>36649</v>
      </c>
      <c r="K348" s="2">
        <v>21377.96</v>
      </c>
      <c r="L348" s="2">
        <v>14659.6</v>
      </c>
      <c r="M348" s="2">
        <v>342</v>
      </c>
      <c r="N348" s="2">
        <v>140219.64000000001</v>
      </c>
      <c r="O348" s="2" t="s">
        <v>43</v>
      </c>
      <c r="P348" s="2">
        <v>33289</v>
      </c>
      <c r="Q348" s="2" t="s">
        <v>28</v>
      </c>
      <c r="R348" s="2" t="s">
        <v>29</v>
      </c>
      <c r="S348" s="2">
        <v>3</v>
      </c>
      <c r="T348" s="2">
        <v>2</v>
      </c>
      <c r="U348" s="2" t="str" cm="1">
        <f t="array" ref="U348">_xlfn.IFS(N348&gt;200000,"PEAK SALES",N348&gt;100000,"GOOD SALES",N348&gt;50000,"AVERAGE SALES",N348&lt;50000,"PROFIT",N348&lt;10000,"LOSS")</f>
        <v>GOOD SALES</v>
      </c>
      <c r="V348" s="2">
        <f t="shared" si="5"/>
        <v>1</v>
      </c>
    </row>
    <row r="349" spans="1:22" x14ac:dyDescent="0.25">
      <c r="A349" s="2">
        <v>2348</v>
      </c>
      <c r="B349" s="2" t="s">
        <v>179</v>
      </c>
      <c r="C349" s="2" t="s">
        <v>65</v>
      </c>
      <c r="D349" s="2" t="s">
        <v>22</v>
      </c>
      <c r="E349" s="2" t="s">
        <v>54</v>
      </c>
      <c r="F349" s="2" t="s">
        <v>24</v>
      </c>
      <c r="G349" s="2" t="s">
        <v>69</v>
      </c>
      <c r="H349" s="2" t="s">
        <v>61</v>
      </c>
      <c r="I349" s="2">
        <v>5</v>
      </c>
      <c r="J349" s="2">
        <v>1425</v>
      </c>
      <c r="K349" s="2">
        <v>1346.75</v>
      </c>
      <c r="L349" s="2">
        <v>712.5</v>
      </c>
      <c r="M349" s="2">
        <v>244</v>
      </c>
      <c r="N349" s="2">
        <v>6734.75</v>
      </c>
      <c r="O349" s="2" t="s">
        <v>27</v>
      </c>
      <c r="P349" s="2">
        <v>1283</v>
      </c>
      <c r="Q349" s="2" t="s">
        <v>63</v>
      </c>
      <c r="R349" s="2" t="s">
        <v>37</v>
      </c>
      <c r="S349" s="2">
        <v>4</v>
      </c>
      <c r="T349" s="2">
        <v>2</v>
      </c>
      <c r="U349" s="2" t="str" cm="1">
        <f t="array" ref="U349">_xlfn.IFS(N349&gt;200000,"PEAK SALES",N349&gt;100000,"GOOD SALES",N349&gt;50000,"AVERAGE SALES",N349&lt;50000,"PROFIT",N349&lt;10000,"LOSS")</f>
        <v>PROFIT</v>
      </c>
      <c r="V349" s="2">
        <f t="shared" si="5"/>
        <v>4</v>
      </c>
    </row>
    <row r="350" spans="1:22" x14ac:dyDescent="0.25">
      <c r="A350" s="2">
        <v>2349</v>
      </c>
      <c r="B350" s="2" t="s">
        <v>112</v>
      </c>
      <c r="C350" s="2" t="s">
        <v>46</v>
      </c>
      <c r="D350" s="2" t="s">
        <v>73</v>
      </c>
      <c r="E350" s="2" t="s">
        <v>47</v>
      </c>
      <c r="F350" s="2" t="s">
        <v>34</v>
      </c>
      <c r="G350" s="2" t="s">
        <v>60</v>
      </c>
      <c r="H350" s="2" t="s">
        <v>36</v>
      </c>
      <c r="I350" s="2">
        <v>2</v>
      </c>
      <c r="J350" s="2">
        <v>55485</v>
      </c>
      <c r="K350" s="2">
        <v>21497.15</v>
      </c>
      <c r="L350" s="2">
        <v>11097</v>
      </c>
      <c r="M350" s="2">
        <v>294</v>
      </c>
      <c r="N350" s="2">
        <v>100863.85</v>
      </c>
      <c r="O350" s="2" t="s">
        <v>27</v>
      </c>
      <c r="P350" s="2">
        <v>24094</v>
      </c>
      <c r="Q350" s="2" t="s">
        <v>63</v>
      </c>
      <c r="R350" s="2" t="s">
        <v>29</v>
      </c>
      <c r="S350" s="2">
        <v>7</v>
      </c>
      <c r="T350" s="2">
        <v>4</v>
      </c>
      <c r="U350" s="2" t="str" cm="1">
        <f t="array" ref="U350">_xlfn.IFS(N350&gt;200000,"PEAK SALES",N350&gt;100000,"GOOD SALES",N350&gt;50000,"AVERAGE SALES",N350&lt;50000,"PROFIT",N350&lt;10000,"LOSS")</f>
        <v>GOOD SALES</v>
      </c>
      <c r="V350" s="2">
        <f t="shared" si="5"/>
        <v>1</v>
      </c>
    </row>
    <row r="351" spans="1:22" x14ac:dyDescent="0.25">
      <c r="A351" s="2">
        <v>2350</v>
      </c>
      <c r="B351" s="2" t="s">
        <v>174</v>
      </c>
      <c r="C351" s="2" t="s">
        <v>46</v>
      </c>
      <c r="D351" s="2" t="s">
        <v>32</v>
      </c>
      <c r="E351" s="2" t="s">
        <v>23</v>
      </c>
      <c r="F351" s="2" t="s">
        <v>34</v>
      </c>
      <c r="G351" s="2" t="s">
        <v>41</v>
      </c>
      <c r="H351" s="2" t="s">
        <v>61</v>
      </c>
      <c r="I351" s="2">
        <v>1</v>
      </c>
      <c r="J351" s="2">
        <v>1549</v>
      </c>
      <c r="K351" s="2">
        <v>190.42</v>
      </c>
      <c r="L351" s="2">
        <v>154.9</v>
      </c>
      <c r="M351" s="2">
        <v>495</v>
      </c>
      <c r="N351" s="2">
        <v>2008.48</v>
      </c>
      <c r="O351" s="2" t="s">
        <v>62</v>
      </c>
      <c r="P351" s="2">
        <v>405</v>
      </c>
      <c r="Q351" s="2" t="s">
        <v>28</v>
      </c>
      <c r="R351" s="2" t="s">
        <v>29</v>
      </c>
      <c r="S351" s="2">
        <v>3</v>
      </c>
      <c r="T351" s="2">
        <v>1</v>
      </c>
      <c r="U351" s="2" t="str" cm="1">
        <f t="array" ref="U351">_xlfn.IFS(N351&gt;200000,"PEAK SALES",N351&gt;100000,"GOOD SALES",N351&gt;50000,"AVERAGE SALES",N351&lt;50000,"PROFIT",N351&lt;10000,"LOSS")</f>
        <v>PROFIT</v>
      </c>
      <c r="V351" s="2">
        <f t="shared" si="5"/>
        <v>2</v>
      </c>
    </row>
    <row r="352" spans="1:22" x14ac:dyDescent="0.25">
      <c r="A352" s="2">
        <v>2351</v>
      </c>
      <c r="B352" s="2" t="s">
        <v>84</v>
      </c>
      <c r="C352" s="2" t="s">
        <v>21</v>
      </c>
      <c r="D352" s="2" t="s">
        <v>73</v>
      </c>
      <c r="E352" s="2" t="s">
        <v>33</v>
      </c>
      <c r="F352" s="2" t="s">
        <v>24</v>
      </c>
      <c r="G352" s="2" t="s">
        <v>94</v>
      </c>
      <c r="H352" s="2" t="s">
        <v>36</v>
      </c>
      <c r="I352" s="2">
        <v>1</v>
      </c>
      <c r="J352" s="2">
        <v>56482</v>
      </c>
      <c r="K352" s="2">
        <v>6359.37</v>
      </c>
      <c r="L352" s="2">
        <v>5648.2</v>
      </c>
      <c r="M352" s="2">
        <v>471</v>
      </c>
      <c r="N352" s="2">
        <v>56241.829999999987</v>
      </c>
      <c r="O352" s="2" t="s">
        <v>27</v>
      </c>
      <c r="P352" s="2">
        <v>14882</v>
      </c>
      <c r="Q352" s="2" t="s">
        <v>28</v>
      </c>
      <c r="R352" s="2" t="s">
        <v>37</v>
      </c>
      <c r="S352" s="2">
        <v>5</v>
      </c>
      <c r="T352" s="2">
        <v>2</v>
      </c>
      <c r="U352" s="2" t="str" cm="1">
        <f t="array" ref="U352">_xlfn.IFS(N352&gt;200000,"PEAK SALES",N352&gt;100000,"GOOD SALES",N352&gt;50000,"AVERAGE SALES",N352&lt;50000,"PROFIT",N352&lt;10000,"LOSS")</f>
        <v>AVERAGE SALES</v>
      </c>
      <c r="V352" s="2">
        <f t="shared" si="5"/>
        <v>2</v>
      </c>
    </row>
    <row r="353" spans="1:22" x14ac:dyDescent="0.25">
      <c r="A353" s="2">
        <v>2352</v>
      </c>
      <c r="B353" s="2" t="s">
        <v>139</v>
      </c>
      <c r="C353" s="2" t="s">
        <v>21</v>
      </c>
      <c r="D353" s="2" t="s">
        <v>22</v>
      </c>
      <c r="E353" s="2" t="s">
        <v>103</v>
      </c>
      <c r="F353" s="2" t="s">
        <v>24</v>
      </c>
      <c r="G353" s="2" t="s">
        <v>25</v>
      </c>
      <c r="H353" s="2" t="s">
        <v>42</v>
      </c>
      <c r="I353" s="2">
        <v>2</v>
      </c>
      <c r="J353" s="2">
        <v>28530</v>
      </c>
      <c r="K353" s="2">
        <v>5823.38</v>
      </c>
      <c r="L353" s="2">
        <v>5706</v>
      </c>
      <c r="M353" s="2">
        <v>179</v>
      </c>
      <c r="N353" s="2">
        <v>57121.62</v>
      </c>
      <c r="O353" s="2" t="s">
        <v>50</v>
      </c>
      <c r="P353" s="2">
        <v>15311</v>
      </c>
      <c r="Q353" s="2" t="s">
        <v>28</v>
      </c>
      <c r="R353" s="2" t="s">
        <v>44</v>
      </c>
      <c r="S353" s="2">
        <v>1</v>
      </c>
      <c r="T353" s="2">
        <v>2</v>
      </c>
      <c r="U353" s="2" t="str" cm="1">
        <f t="array" ref="U353">_xlfn.IFS(N353&gt;200000,"PEAK SALES",N353&gt;100000,"GOOD SALES",N353&gt;50000,"AVERAGE SALES",N353&lt;50000,"PROFIT",N353&lt;10000,"LOSS")</f>
        <v>AVERAGE SALES</v>
      </c>
      <c r="V353" s="2">
        <f t="shared" si="5"/>
        <v>3</v>
      </c>
    </row>
    <row r="354" spans="1:22" x14ac:dyDescent="0.25">
      <c r="A354" s="2">
        <v>2353</v>
      </c>
      <c r="B354" s="2" t="s">
        <v>98</v>
      </c>
      <c r="C354" s="2" t="s">
        <v>58</v>
      </c>
      <c r="D354" s="2" t="s">
        <v>22</v>
      </c>
      <c r="E354" s="2" t="s">
        <v>54</v>
      </c>
      <c r="F354" s="2" t="s">
        <v>48</v>
      </c>
      <c r="G354" s="2" t="s">
        <v>49</v>
      </c>
      <c r="H354" s="2" t="s">
        <v>26</v>
      </c>
      <c r="I354" s="2">
        <v>1</v>
      </c>
      <c r="J354" s="2">
        <v>16319</v>
      </c>
      <c r="K354" s="2">
        <v>2403.27</v>
      </c>
      <c r="L354" s="2">
        <v>1631.9</v>
      </c>
      <c r="M354" s="2">
        <v>342</v>
      </c>
      <c r="N354" s="2">
        <v>15889.63</v>
      </c>
      <c r="O354" s="2" t="s">
        <v>27</v>
      </c>
      <c r="P354" s="2">
        <v>2087</v>
      </c>
      <c r="Q354" s="2" t="s">
        <v>52</v>
      </c>
      <c r="R354" s="2" t="s">
        <v>37</v>
      </c>
      <c r="S354" s="2">
        <v>2</v>
      </c>
      <c r="T354" s="2">
        <v>3</v>
      </c>
      <c r="U354" s="2" t="str" cm="1">
        <f t="array" ref="U354">_xlfn.IFS(N354&gt;200000,"PEAK SALES",N354&gt;100000,"GOOD SALES",N354&gt;50000,"AVERAGE SALES",N354&lt;50000,"PROFIT",N354&lt;10000,"LOSS")</f>
        <v>PROFIT</v>
      </c>
      <c r="V354" s="2">
        <f t="shared" si="5"/>
        <v>3</v>
      </c>
    </row>
    <row r="355" spans="1:22" x14ac:dyDescent="0.25">
      <c r="A355" s="2">
        <v>2354</v>
      </c>
      <c r="B355" s="2" t="s">
        <v>105</v>
      </c>
      <c r="C355" s="2" t="s">
        <v>72</v>
      </c>
      <c r="D355" s="2" t="s">
        <v>22</v>
      </c>
      <c r="E355" s="2" t="s">
        <v>79</v>
      </c>
      <c r="F355" s="2" t="s">
        <v>24</v>
      </c>
      <c r="G355" s="2" t="s">
        <v>94</v>
      </c>
      <c r="H355" s="2" t="s">
        <v>61</v>
      </c>
      <c r="I355" s="2">
        <v>1</v>
      </c>
      <c r="J355" s="2">
        <v>49978</v>
      </c>
      <c r="K355" s="2">
        <v>9045.07</v>
      </c>
      <c r="L355" s="2">
        <v>4997.8</v>
      </c>
      <c r="M355" s="2">
        <v>130</v>
      </c>
      <c r="N355" s="2">
        <v>46060.73</v>
      </c>
      <c r="O355" s="2" t="s">
        <v>62</v>
      </c>
      <c r="P355" s="2">
        <v>6431</v>
      </c>
      <c r="Q355" s="2" t="s">
        <v>52</v>
      </c>
      <c r="R355" s="2" t="s">
        <v>37</v>
      </c>
      <c r="S355" s="2">
        <v>2</v>
      </c>
      <c r="T355" s="2">
        <v>4</v>
      </c>
      <c r="U355" s="2" t="str" cm="1">
        <f t="array" ref="U355">_xlfn.IFS(N355&gt;200000,"PEAK SALES",N355&gt;100000,"GOOD SALES",N355&gt;50000,"AVERAGE SALES",N355&lt;50000,"PROFIT",N355&lt;10000,"LOSS")</f>
        <v>PROFIT</v>
      </c>
      <c r="V355" s="2">
        <f t="shared" si="5"/>
        <v>2</v>
      </c>
    </row>
    <row r="356" spans="1:22" x14ac:dyDescent="0.25">
      <c r="A356" s="2">
        <v>2355</v>
      </c>
      <c r="B356" s="2" t="s">
        <v>20</v>
      </c>
      <c r="C356" s="2" t="s">
        <v>39</v>
      </c>
      <c r="D356" s="2" t="s">
        <v>32</v>
      </c>
      <c r="E356" s="2" t="s">
        <v>103</v>
      </c>
      <c r="F356" s="2" t="s">
        <v>24</v>
      </c>
      <c r="G356" s="2" t="s">
        <v>25</v>
      </c>
      <c r="H356" s="2" t="s">
        <v>26</v>
      </c>
      <c r="I356" s="2">
        <v>1</v>
      </c>
      <c r="J356" s="2">
        <v>53534</v>
      </c>
      <c r="K356" s="2">
        <v>4288.42</v>
      </c>
      <c r="L356" s="2">
        <v>5353.4</v>
      </c>
      <c r="M356" s="2">
        <v>179</v>
      </c>
      <c r="N356" s="2">
        <v>54777.98</v>
      </c>
      <c r="O356" s="2" t="s">
        <v>62</v>
      </c>
      <c r="P356" s="2">
        <v>6568</v>
      </c>
      <c r="Q356" s="2" t="s">
        <v>63</v>
      </c>
      <c r="R356" s="2" t="s">
        <v>44</v>
      </c>
      <c r="S356" s="2">
        <v>10</v>
      </c>
      <c r="T356" s="2">
        <v>1</v>
      </c>
      <c r="U356" s="2" t="str" cm="1">
        <f t="array" ref="U356">_xlfn.IFS(N356&gt;200000,"PEAK SALES",N356&gt;100000,"GOOD SALES",N356&gt;50000,"AVERAGE SALES",N356&lt;50000,"PROFIT",N356&lt;10000,"LOSS")</f>
        <v>AVERAGE SALES</v>
      </c>
      <c r="V356" s="2">
        <f t="shared" si="5"/>
        <v>3</v>
      </c>
    </row>
    <row r="357" spans="1:22" x14ac:dyDescent="0.25">
      <c r="A357" s="2">
        <v>2356</v>
      </c>
      <c r="B357" s="2" t="s">
        <v>81</v>
      </c>
      <c r="C357" s="2" t="s">
        <v>46</v>
      </c>
      <c r="D357" s="2" t="s">
        <v>73</v>
      </c>
      <c r="E357" s="2" t="s">
        <v>47</v>
      </c>
      <c r="F357" s="2" t="s">
        <v>34</v>
      </c>
      <c r="G357" s="2" t="s">
        <v>41</v>
      </c>
      <c r="H357" s="2" t="s">
        <v>26</v>
      </c>
      <c r="I357" s="2">
        <v>1</v>
      </c>
      <c r="J357" s="2">
        <v>57981</v>
      </c>
      <c r="K357" s="2">
        <v>5671.56</v>
      </c>
      <c r="L357" s="2">
        <v>5798.1</v>
      </c>
      <c r="M357" s="2">
        <v>236</v>
      </c>
      <c r="N357" s="2">
        <v>58343.54</v>
      </c>
      <c r="O357" s="2" t="s">
        <v>27</v>
      </c>
      <c r="P357" s="2">
        <v>13666</v>
      </c>
      <c r="Q357" s="2" t="s">
        <v>52</v>
      </c>
      <c r="R357" s="2" t="s">
        <v>44</v>
      </c>
      <c r="S357" s="2">
        <v>3</v>
      </c>
      <c r="T357" s="2">
        <v>2</v>
      </c>
      <c r="U357" s="2" t="str" cm="1">
        <f t="array" ref="U357">_xlfn.IFS(N357&gt;200000,"PEAK SALES",N357&gt;100000,"GOOD SALES",N357&gt;50000,"AVERAGE SALES",N357&lt;50000,"PROFIT",N357&lt;10000,"LOSS")</f>
        <v>AVERAGE SALES</v>
      </c>
      <c r="V357" s="2">
        <f t="shared" si="5"/>
        <v>4</v>
      </c>
    </row>
    <row r="358" spans="1:22" x14ac:dyDescent="0.25">
      <c r="A358" s="2">
        <v>2357</v>
      </c>
      <c r="B358" s="2" t="s">
        <v>128</v>
      </c>
      <c r="C358" s="2" t="s">
        <v>87</v>
      </c>
      <c r="D358" s="2" t="s">
        <v>73</v>
      </c>
      <c r="E358" s="2" t="s">
        <v>79</v>
      </c>
      <c r="F358" s="2" t="s">
        <v>34</v>
      </c>
      <c r="G358" s="2" t="s">
        <v>35</v>
      </c>
      <c r="H358" s="2" t="s">
        <v>42</v>
      </c>
      <c r="I358" s="2">
        <v>3</v>
      </c>
      <c r="J358" s="2">
        <v>37543</v>
      </c>
      <c r="K358" s="2">
        <v>17260.11</v>
      </c>
      <c r="L358" s="2">
        <v>11262.9</v>
      </c>
      <c r="M358" s="2">
        <v>83</v>
      </c>
      <c r="N358" s="2">
        <v>106714.79</v>
      </c>
      <c r="O358" s="2" t="s">
        <v>50</v>
      </c>
      <c r="P358" s="2">
        <v>31750</v>
      </c>
      <c r="Q358" s="2" t="s">
        <v>28</v>
      </c>
      <c r="R358" s="2" t="s">
        <v>37</v>
      </c>
      <c r="S358" s="2">
        <v>9</v>
      </c>
      <c r="T358" s="2">
        <v>1</v>
      </c>
      <c r="U358" s="2" t="str" cm="1">
        <f t="array" ref="U358">_xlfn.IFS(N358&gt;200000,"PEAK SALES",N358&gt;100000,"GOOD SALES",N358&gt;50000,"AVERAGE SALES",N358&lt;50000,"PROFIT",N358&lt;10000,"LOSS")</f>
        <v>GOOD SALES</v>
      </c>
      <c r="V358" s="2">
        <f t="shared" si="5"/>
        <v>2</v>
      </c>
    </row>
    <row r="359" spans="1:22" x14ac:dyDescent="0.25">
      <c r="A359" s="2">
        <v>2358</v>
      </c>
      <c r="B359" s="2" t="s">
        <v>64</v>
      </c>
      <c r="C359" s="2" t="s">
        <v>72</v>
      </c>
      <c r="D359" s="2" t="s">
        <v>59</v>
      </c>
      <c r="E359" s="2" t="s">
        <v>23</v>
      </c>
      <c r="F359" s="2" t="s">
        <v>48</v>
      </c>
      <c r="G359" s="2" t="s">
        <v>49</v>
      </c>
      <c r="H359" s="2" t="s">
        <v>61</v>
      </c>
      <c r="I359" s="2">
        <v>4</v>
      </c>
      <c r="J359" s="2">
        <v>42395</v>
      </c>
      <c r="K359" s="2">
        <v>27897.23</v>
      </c>
      <c r="L359" s="2">
        <v>16958</v>
      </c>
      <c r="M359" s="2">
        <v>443</v>
      </c>
      <c r="N359" s="2">
        <v>159083.76999999999</v>
      </c>
      <c r="O359" s="2" t="s">
        <v>43</v>
      </c>
      <c r="P359" s="2">
        <v>45495</v>
      </c>
      <c r="Q359" s="2" t="s">
        <v>63</v>
      </c>
      <c r="R359" s="2" t="s">
        <v>29</v>
      </c>
      <c r="S359" s="2">
        <v>7</v>
      </c>
      <c r="T359" s="2">
        <v>2</v>
      </c>
      <c r="U359" s="2" t="str" cm="1">
        <f t="array" ref="U359">_xlfn.IFS(N359&gt;200000,"PEAK SALES",N359&gt;100000,"GOOD SALES",N359&gt;50000,"AVERAGE SALES",N359&lt;50000,"PROFIT",N359&lt;10000,"LOSS")</f>
        <v>GOOD SALES</v>
      </c>
      <c r="V359" s="2">
        <f t="shared" si="5"/>
        <v>1</v>
      </c>
    </row>
    <row r="360" spans="1:22" x14ac:dyDescent="0.25">
      <c r="A360" s="2">
        <v>2359</v>
      </c>
      <c r="B360" s="2" t="s">
        <v>38</v>
      </c>
      <c r="C360" s="2" t="s">
        <v>72</v>
      </c>
      <c r="D360" s="2" t="s">
        <v>32</v>
      </c>
      <c r="E360" s="2" t="s">
        <v>56</v>
      </c>
      <c r="F360" s="2" t="s">
        <v>24</v>
      </c>
      <c r="G360" s="2" t="s">
        <v>94</v>
      </c>
      <c r="H360" s="2" t="s">
        <v>26</v>
      </c>
      <c r="I360" s="2">
        <v>5</v>
      </c>
      <c r="J360" s="2">
        <v>55313</v>
      </c>
      <c r="K360" s="2">
        <v>41744.11</v>
      </c>
      <c r="L360" s="2">
        <v>27656.5</v>
      </c>
      <c r="M360" s="2">
        <v>252</v>
      </c>
      <c r="N360" s="2">
        <v>262729.39</v>
      </c>
      <c r="O360" s="2" t="s">
        <v>62</v>
      </c>
      <c r="P360" s="2">
        <v>65296</v>
      </c>
      <c r="Q360" s="2" t="s">
        <v>63</v>
      </c>
      <c r="R360" s="2" t="s">
        <v>29</v>
      </c>
      <c r="S360" s="2">
        <v>3</v>
      </c>
      <c r="T360" s="2">
        <v>1</v>
      </c>
      <c r="U360" s="2" t="str" cm="1">
        <f t="array" ref="U360">_xlfn.IFS(N360&gt;200000,"PEAK SALES",N360&gt;100000,"GOOD SALES",N360&gt;50000,"AVERAGE SALES",N360&lt;50000,"PROFIT",N360&lt;10000,"LOSS")</f>
        <v>PEAK SALES</v>
      </c>
      <c r="V360" s="2">
        <f t="shared" si="5"/>
        <v>3</v>
      </c>
    </row>
    <row r="361" spans="1:22" x14ac:dyDescent="0.25">
      <c r="A361" s="2">
        <v>2360</v>
      </c>
      <c r="B361" s="2" t="s">
        <v>85</v>
      </c>
      <c r="C361" s="2" t="s">
        <v>68</v>
      </c>
      <c r="D361" s="2" t="s">
        <v>32</v>
      </c>
      <c r="E361" s="2" t="s">
        <v>103</v>
      </c>
      <c r="F361" s="2" t="s">
        <v>24</v>
      </c>
      <c r="G361" s="2" t="s">
        <v>69</v>
      </c>
      <c r="H361" s="2" t="s">
        <v>26</v>
      </c>
      <c r="I361" s="2">
        <v>4</v>
      </c>
      <c r="J361" s="2">
        <v>6347</v>
      </c>
      <c r="K361" s="2">
        <v>2395.7199999999998</v>
      </c>
      <c r="L361" s="2">
        <v>2538.8000000000002</v>
      </c>
      <c r="M361" s="2">
        <v>191</v>
      </c>
      <c r="N361" s="2">
        <v>25722.080000000002</v>
      </c>
      <c r="O361" s="2" t="s">
        <v>62</v>
      </c>
      <c r="P361" s="2">
        <v>3818</v>
      </c>
      <c r="Q361" s="2" t="s">
        <v>52</v>
      </c>
      <c r="R361" s="2" t="s">
        <v>29</v>
      </c>
      <c r="S361" s="2">
        <v>1</v>
      </c>
      <c r="T361" s="2">
        <v>1</v>
      </c>
      <c r="U361" s="2" t="str" cm="1">
        <f t="array" ref="U361">_xlfn.IFS(N361&gt;200000,"PEAK SALES",N361&gt;100000,"GOOD SALES",N361&gt;50000,"AVERAGE SALES",N361&lt;50000,"PROFIT",N361&lt;10000,"LOSS")</f>
        <v>PROFIT</v>
      </c>
      <c r="V361" s="2">
        <f t="shared" si="5"/>
        <v>1</v>
      </c>
    </row>
    <row r="362" spans="1:22" x14ac:dyDescent="0.25">
      <c r="A362" s="2">
        <v>2361</v>
      </c>
      <c r="B362" s="2" t="s">
        <v>117</v>
      </c>
      <c r="C362" s="2" t="s">
        <v>72</v>
      </c>
      <c r="D362" s="2" t="s">
        <v>22</v>
      </c>
      <c r="E362" s="2" t="s">
        <v>54</v>
      </c>
      <c r="F362" s="2" t="s">
        <v>34</v>
      </c>
      <c r="G362" s="2" t="s">
        <v>60</v>
      </c>
      <c r="H362" s="2" t="s">
        <v>36</v>
      </c>
      <c r="I362" s="2">
        <v>5</v>
      </c>
      <c r="J362" s="2">
        <v>3472</v>
      </c>
      <c r="K362" s="2">
        <v>1341.82</v>
      </c>
      <c r="L362" s="2">
        <v>1736</v>
      </c>
      <c r="M362" s="2">
        <v>352</v>
      </c>
      <c r="N362" s="2">
        <v>18106.18</v>
      </c>
      <c r="O362" s="2" t="s">
        <v>43</v>
      </c>
      <c r="P362" s="2">
        <v>3130</v>
      </c>
      <c r="Q362" s="2" t="s">
        <v>52</v>
      </c>
      <c r="R362" s="2" t="s">
        <v>44</v>
      </c>
      <c r="S362" s="2">
        <v>2</v>
      </c>
      <c r="T362" s="2">
        <v>4</v>
      </c>
      <c r="U362" s="2" t="str" cm="1">
        <f t="array" ref="U362">_xlfn.IFS(N362&gt;200000,"PEAK SALES",N362&gt;100000,"GOOD SALES",N362&gt;50000,"AVERAGE SALES",N362&lt;50000,"PROFIT",N362&lt;10000,"LOSS")</f>
        <v>PROFIT</v>
      </c>
      <c r="V362" s="2">
        <f t="shared" si="5"/>
        <v>4</v>
      </c>
    </row>
    <row r="363" spans="1:22" x14ac:dyDescent="0.25">
      <c r="A363" s="2">
        <v>2362</v>
      </c>
      <c r="B363" s="2" t="s">
        <v>139</v>
      </c>
      <c r="C363" s="2" t="s">
        <v>39</v>
      </c>
      <c r="D363" s="2" t="s">
        <v>32</v>
      </c>
      <c r="E363" s="2" t="s">
        <v>79</v>
      </c>
      <c r="F363" s="2" t="s">
        <v>24</v>
      </c>
      <c r="G363" s="2" t="s">
        <v>25</v>
      </c>
      <c r="H363" s="2" t="s">
        <v>36</v>
      </c>
      <c r="I363" s="2">
        <v>2</v>
      </c>
      <c r="J363" s="2">
        <v>8475</v>
      </c>
      <c r="K363" s="2">
        <v>3286.28</v>
      </c>
      <c r="L363" s="2">
        <v>1695</v>
      </c>
      <c r="M363" s="2">
        <v>319</v>
      </c>
      <c r="N363" s="2">
        <v>15677.72</v>
      </c>
      <c r="O363" s="2" t="s">
        <v>50</v>
      </c>
      <c r="P363" s="2">
        <v>3296</v>
      </c>
      <c r="Q363" s="2" t="s">
        <v>63</v>
      </c>
      <c r="R363" s="2" t="s">
        <v>44</v>
      </c>
      <c r="S363" s="2">
        <v>4</v>
      </c>
      <c r="T363" s="2">
        <v>4</v>
      </c>
      <c r="U363" s="2" t="str" cm="1">
        <f t="array" ref="U363">_xlfn.IFS(N363&gt;200000,"PEAK SALES",N363&gt;100000,"GOOD SALES",N363&gt;50000,"AVERAGE SALES",N363&lt;50000,"PROFIT",N363&lt;10000,"LOSS")</f>
        <v>PROFIT</v>
      </c>
      <c r="V363" s="2">
        <f t="shared" si="5"/>
        <v>3</v>
      </c>
    </row>
    <row r="364" spans="1:22" x14ac:dyDescent="0.25">
      <c r="A364" s="2">
        <v>2363</v>
      </c>
      <c r="B364" s="2" t="s">
        <v>130</v>
      </c>
      <c r="C364" s="2" t="s">
        <v>68</v>
      </c>
      <c r="D364" s="2" t="s">
        <v>32</v>
      </c>
      <c r="E364" s="2" t="s">
        <v>40</v>
      </c>
      <c r="F364" s="2" t="s">
        <v>34</v>
      </c>
      <c r="G364" s="2" t="s">
        <v>60</v>
      </c>
      <c r="H364" s="2" t="s">
        <v>61</v>
      </c>
      <c r="I364" s="2">
        <v>4</v>
      </c>
      <c r="J364" s="2">
        <v>2005</v>
      </c>
      <c r="K364" s="2">
        <v>741.64</v>
      </c>
      <c r="L364" s="2">
        <v>802</v>
      </c>
      <c r="M364" s="2">
        <v>86</v>
      </c>
      <c r="N364" s="2">
        <v>8166.36</v>
      </c>
      <c r="O364" s="2" t="s">
        <v>27</v>
      </c>
      <c r="P364" s="2">
        <v>827</v>
      </c>
      <c r="Q364" s="2" t="s">
        <v>52</v>
      </c>
      <c r="R364" s="2" t="s">
        <v>29</v>
      </c>
      <c r="S364" s="2">
        <v>8</v>
      </c>
      <c r="T364" s="2">
        <v>3</v>
      </c>
      <c r="U364" s="2" t="str" cm="1">
        <f t="array" ref="U364">_xlfn.IFS(N364&gt;200000,"PEAK SALES",N364&gt;100000,"GOOD SALES",N364&gt;50000,"AVERAGE SALES",N364&lt;50000,"PROFIT",N364&lt;10000,"LOSS")</f>
        <v>PROFIT</v>
      </c>
      <c r="V364" s="2">
        <f t="shared" si="5"/>
        <v>3</v>
      </c>
    </row>
    <row r="365" spans="1:22" x14ac:dyDescent="0.25">
      <c r="A365" s="2">
        <v>2364</v>
      </c>
      <c r="B365" s="2" t="s">
        <v>160</v>
      </c>
      <c r="C365" s="2" t="s">
        <v>39</v>
      </c>
      <c r="D365" s="2" t="s">
        <v>73</v>
      </c>
      <c r="E365" s="2" t="s">
        <v>23</v>
      </c>
      <c r="F365" s="2" t="s">
        <v>34</v>
      </c>
      <c r="G365" s="2" t="s">
        <v>35</v>
      </c>
      <c r="H365" s="2" t="s">
        <v>36</v>
      </c>
      <c r="I365" s="2">
        <v>1</v>
      </c>
      <c r="J365" s="2">
        <v>47974</v>
      </c>
      <c r="K365" s="2">
        <v>7619.73</v>
      </c>
      <c r="L365" s="2">
        <v>4797.3999999999996</v>
      </c>
      <c r="M365" s="2">
        <v>185</v>
      </c>
      <c r="N365" s="2">
        <v>45336.670000000013</v>
      </c>
      <c r="O365" s="2" t="s">
        <v>50</v>
      </c>
      <c r="P365" s="2">
        <v>5398</v>
      </c>
      <c r="Q365" s="2" t="s">
        <v>63</v>
      </c>
      <c r="R365" s="2" t="s">
        <v>29</v>
      </c>
      <c r="S365" s="2">
        <v>3</v>
      </c>
      <c r="T365" s="2">
        <v>1</v>
      </c>
      <c r="U365" s="2" t="str" cm="1">
        <f t="array" ref="U365">_xlfn.IFS(N365&gt;200000,"PEAK SALES",N365&gt;100000,"GOOD SALES",N365&gt;50000,"AVERAGE SALES",N365&lt;50000,"PROFIT",N365&lt;10000,"LOSS")</f>
        <v>PROFIT</v>
      </c>
      <c r="V365" s="2">
        <f t="shared" si="5"/>
        <v>2</v>
      </c>
    </row>
    <row r="366" spans="1:22" x14ac:dyDescent="0.25">
      <c r="A366" s="2">
        <v>2365</v>
      </c>
      <c r="B366" s="2" t="s">
        <v>120</v>
      </c>
      <c r="C366" s="2" t="s">
        <v>31</v>
      </c>
      <c r="D366" s="2" t="s">
        <v>73</v>
      </c>
      <c r="E366" s="2" t="s">
        <v>79</v>
      </c>
      <c r="F366" s="2" t="s">
        <v>24</v>
      </c>
      <c r="G366" s="2" t="s">
        <v>25</v>
      </c>
      <c r="H366" s="2" t="s">
        <v>42</v>
      </c>
      <c r="I366" s="2">
        <v>5</v>
      </c>
      <c r="J366" s="2">
        <v>52818</v>
      </c>
      <c r="K366" s="2">
        <v>29063.91</v>
      </c>
      <c r="L366" s="2">
        <v>26409</v>
      </c>
      <c r="M366" s="2">
        <v>156</v>
      </c>
      <c r="N366" s="2">
        <v>261591.09</v>
      </c>
      <c r="O366" s="2" t="s">
        <v>50</v>
      </c>
      <c r="P366" s="2">
        <v>49429</v>
      </c>
      <c r="Q366" s="2" t="s">
        <v>52</v>
      </c>
      <c r="R366" s="2" t="s">
        <v>37</v>
      </c>
      <c r="S366" s="2">
        <v>8</v>
      </c>
      <c r="T366" s="2">
        <v>4</v>
      </c>
      <c r="U366" s="2" t="str" cm="1">
        <f t="array" ref="U366">_xlfn.IFS(N366&gt;200000,"PEAK SALES",N366&gt;100000,"GOOD SALES",N366&gt;50000,"AVERAGE SALES",N366&lt;50000,"PROFIT",N366&lt;10000,"LOSS")</f>
        <v>PEAK SALES</v>
      </c>
      <c r="V366" s="2">
        <f t="shared" si="5"/>
        <v>4</v>
      </c>
    </row>
    <row r="367" spans="1:22" x14ac:dyDescent="0.25">
      <c r="A367" s="2">
        <v>2366</v>
      </c>
      <c r="B367" s="2" t="s">
        <v>92</v>
      </c>
      <c r="C367" s="2" t="s">
        <v>72</v>
      </c>
      <c r="D367" s="2" t="s">
        <v>59</v>
      </c>
      <c r="E367" s="2" t="s">
        <v>56</v>
      </c>
      <c r="F367" s="2" t="s">
        <v>24</v>
      </c>
      <c r="G367" s="2" t="s">
        <v>25</v>
      </c>
      <c r="H367" s="2" t="s">
        <v>42</v>
      </c>
      <c r="I367" s="2">
        <v>4</v>
      </c>
      <c r="J367" s="2">
        <v>57519</v>
      </c>
      <c r="K367" s="2">
        <v>41859.47</v>
      </c>
      <c r="L367" s="2">
        <v>23007.599999999999</v>
      </c>
      <c r="M367" s="2">
        <v>332</v>
      </c>
      <c r="N367" s="2">
        <v>211556.13</v>
      </c>
      <c r="O367" s="2" t="s">
        <v>27</v>
      </c>
      <c r="P367" s="2">
        <v>38416</v>
      </c>
      <c r="Q367" s="2" t="s">
        <v>63</v>
      </c>
      <c r="R367" s="2" t="s">
        <v>44</v>
      </c>
      <c r="S367" s="2">
        <v>8</v>
      </c>
      <c r="T367" s="2">
        <v>2</v>
      </c>
      <c r="U367" s="2" t="str" cm="1">
        <f t="array" ref="U367">_xlfn.IFS(N367&gt;200000,"PEAK SALES",N367&gt;100000,"GOOD SALES",N367&gt;50000,"AVERAGE SALES",N367&lt;50000,"PROFIT",N367&lt;10000,"LOSS")</f>
        <v>PEAK SALES</v>
      </c>
      <c r="V367" s="2">
        <f t="shared" si="5"/>
        <v>1</v>
      </c>
    </row>
    <row r="368" spans="1:22" x14ac:dyDescent="0.25">
      <c r="A368" s="2">
        <v>2367</v>
      </c>
      <c r="B368" s="2" t="s">
        <v>171</v>
      </c>
      <c r="C368" s="2" t="s">
        <v>39</v>
      </c>
      <c r="D368" s="2" t="s">
        <v>59</v>
      </c>
      <c r="E368" s="2" t="s">
        <v>103</v>
      </c>
      <c r="F368" s="2" t="s">
        <v>34</v>
      </c>
      <c r="G368" s="2" t="s">
        <v>35</v>
      </c>
      <c r="H368" s="2" t="s">
        <v>61</v>
      </c>
      <c r="I368" s="2">
        <v>3</v>
      </c>
      <c r="J368" s="2">
        <v>7222</v>
      </c>
      <c r="K368" s="2">
        <v>1175.24</v>
      </c>
      <c r="L368" s="2">
        <v>2166.6</v>
      </c>
      <c r="M368" s="2">
        <v>126</v>
      </c>
      <c r="N368" s="2">
        <v>22783.360000000001</v>
      </c>
      <c r="O368" s="2" t="s">
        <v>50</v>
      </c>
      <c r="P368" s="2">
        <v>4831</v>
      </c>
      <c r="Q368" s="2" t="s">
        <v>28</v>
      </c>
      <c r="R368" s="2" t="s">
        <v>37</v>
      </c>
      <c r="S368" s="2">
        <v>5</v>
      </c>
      <c r="T368" s="2">
        <v>5</v>
      </c>
      <c r="U368" s="2" t="str" cm="1">
        <f t="array" ref="U368">_xlfn.IFS(N368&gt;200000,"PEAK SALES",N368&gt;100000,"GOOD SALES",N368&gt;50000,"AVERAGE SALES",N368&lt;50000,"PROFIT",N368&lt;10000,"LOSS")</f>
        <v>PROFIT</v>
      </c>
      <c r="V368" s="2">
        <f t="shared" si="5"/>
        <v>4</v>
      </c>
    </row>
    <row r="369" spans="1:22" x14ac:dyDescent="0.25">
      <c r="A369" s="2">
        <v>2368</v>
      </c>
      <c r="B369" s="2" t="s">
        <v>166</v>
      </c>
      <c r="C369" s="2" t="s">
        <v>39</v>
      </c>
      <c r="D369" s="2" t="s">
        <v>73</v>
      </c>
      <c r="E369" s="2" t="s">
        <v>33</v>
      </c>
      <c r="F369" s="2" t="s">
        <v>48</v>
      </c>
      <c r="G369" s="2" t="s">
        <v>49</v>
      </c>
      <c r="H369" s="2" t="s">
        <v>61</v>
      </c>
      <c r="I369" s="2">
        <v>5</v>
      </c>
      <c r="J369" s="2">
        <v>32099</v>
      </c>
      <c r="K369" s="2">
        <v>21918.37</v>
      </c>
      <c r="L369" s="2">
        <v>16049.5</v>
      </c>
      <c r="M369" s="2">
        <v>50</v>
      </c>
      <c r="N369" s="2">
        <v>154676.13</v>
      </c>
      <c r="O369" s="2" t="s">
        <v>27</v>
      </c>
      <c r="P369" s="2">
        <v>17018</v>
      </c>
      <c r="Q369" s="2" t="s">
        <v>63</v>
      </c>
      <c r="R369" s="2" t="s">
        <v>29</v>
      </c>
      <c r="S369" s="2">
        <v>4</v>
      </c>
      <c r="T369" s="2">
        <v>5</v>
      </c>
      <c r="U369" s="2" t="str" cm="1">
        <f t="array" ref="U369">_xlfn.IFS(N369&gt;200000,"PEAK SALES",N369&gt;100000,"GOOD SALES",N369&gt;50000,"AVERAGE SALES",N369&lt;50000,"PROFIT",N369&lt;10000,"LOSS")</f>
        <v>GOOD SALES</v>
      </c>
      <c r="V369" s="2">
        <f t="shared" si="5"/>
        <v>1</v>
      </c>
    </row>
    <row r="370" spans="1:22" x14ac:dyDescent="0.25">
      <c r="A370" s="2">
        <v>2369</v>
      </c>
      <c r="B370" s="2" t="s">
        <v>164</v>
      </c>
      <c r="C370" s="2" t="s">
        <v>46</v>
      </c>
      <c r="D370" s="2" t="s">
        <v>22</v>
      </c>
      <c r="E370" s="2" t="s">
        <v>79</v>
      </c>
      <c r="F370" s="2" t="s">
        <v>48</v>
      </c>
      <c r="G370" s="2" t="s">
        <v>49</v>
      </c>
      <c r="H370" s="2" t="s">
        <v>61</v>
      </c>
      <c r="I370" s="2">
        <v>4</v>
      </c>
      <c r="J370" s="2">
        <v>9240</v>
      </c>
      <c r="K370" s="2">
        <v>3445.18</v>
      </c>
      <c r="L370" s="2">
        <v>3696</v>
      </c>
      <c r="M370" s="2">
        <v>429</v>
      </c>
      <c r="N370" s="2">
        <v>37639.82</v>
      </c>
      <c r="O370" s="2" t="s">
        <v>27</v>
      </c>
      <c r="P370" s="2">
        <v>11253</v>
      </c>
      <c r="Q370" s="2" t="s">
        <v>52</v>
      </c>
      <c r="R370" s="2" t="s">
        <v>44</v>
      </c>
      <c r="S370" s="2">
        <v>9</v>
      </c>
      <c r="T370" s="2">
        <v>4</v>
      </c>
      <c r="U370" s="2" t="str" cm="1">
        <f t="array" ref="U370">_xlfn.IFS(N370&gt;200000,"PEAK SALES",N370&gt;100000,"GOOD SALES",N370&gt;50000,"AVERAGE SALES",N370&lt;50000,"PROFIT",N370&lt;10000,"LOSS")</f>
        <v>PROFIT</v>
      </c>
      <c r="V370" s="2">
        <f t="shared" si="5"/>
        <v>4</v>
      </c>
    </row>
    <row r="371" spans="1:22" x14ac:dyDescent="0.25">
      <c r="A371" s="2">
        <v>2370</v>
      </c>
      <c r="B371" s="2" t="s">
        <v>135</v>
      </c>
      <c r="C371" s="2" t="s">
        <v>68</v>
      </c>
      <c r="D371" s="2" t="s">
        <v>73</v>
      </c>
      <c r="E371" s="2" t="s">
        <v>23</v>
      </c>
      <c r="F371" s="2" t="s">
        <v>48</v>
      </c>
      <c r="G371" s="2" t="s">
        <v>49</v>
      </c>
      <c r="H371" s="2" t="s">
        <v>61</v>
      </c>
      <c r="I371" s="2">
        <v>5</v>
      </c>
      <c r="J371" s="2">
        <v>13881</v>
      </c>
      <c r="K371" s="2">
        <v>4777.84</v>
      </c>
      <c r="L371" s="2">
        <v>6940.5</v>
      </c>
      <c r="M371" s="2">
        <v>66</v>
      </c>
      <c r="N371" s="2">
        <v>71633.66</v>
      </c>
      <c r="O371" s="2" t="s">
        <v>27</v>
      </c>
      <c r="P371" s="2">
        <v>20554</v>
      </c>
      <c r="Q371" s="2" t="s">
        <v>28</v>
      </c>
      <c r="R371" s="2" t="s">
        <v>29</v>
      </c>
      <c r="S371" s="2">
        <v>1</v>
      </c>
      <c r="T371" s="2">
        <v>1</v>
      </c>
      <c r="U371" s="2" t="str" cm="1">
        <f t="array" ref="U371">_xlfn.IFS(N371&gt;200000,"PEAK SALES",N371&gt;100000,"GOOD SALES",N371&gt;50000,"AVERAGE SALES",N371&lt;50000,"PROFIT",N371&lt;10000,"LOSS")</f>
        <v>AVERAGE SALES</v>
      </c>
      <c r="V371" s="2">
        <f t="shared" si="5"/>
        <v>3</v>
      </c>
    </row>
    <row r="372" spans="1:22" x14ac:dyDescent="0.25">
      <c r="A372" s="2">
        <v>2371</v>
      </c>
      <c r="B372" s="2" t="s">
        <v>166</v>
      </c>
      <c r="C372" s="2" t="s">
        <v>72</v>
      </c>
      <c r="D372" s="2" t="s">
        <v>73</v>
      </c>
      <c r="E372" s="2" t="s">
        <v>54</v>
      </c>
      <c r="F372" s="2" t="s">
        <v>34</v>
      </c>
      <c r="G372" s="2" t="s">
        <v>41</v>
      </c>
      <c r="H372" s="2" t="s">
        <v>61</v>
      </c>
      <c r="I372" s="2">
        <v>1</v>
      </c>
      <c r="J372" s="2">
        <v>16350</v>
      </c>
      <c r="K372" s="2">
        <v>1261.31</v>
      </c>
      <c r="L372" s="2">
        <v>1635</v>
      </c>
      <c r="M372" s="2">
        <v>190</v>
      </c>
      <c r="N372" s="2">
        <v>16913.689999999999</v>
      </c>
      <c r="O372" s="2" t="s">
        <v>43</v>
      </c>
      <c r="P372" s="2">
        <v>4232</v>
      </c>
      <c r="Q372" s="2" t="s">
        <v>63</v>
      </c>
      <c r="R372" s="2" t="s">
        <v>37</v>
      </c>
      <c r="S372" s="2">
        <v>10</v>
      </c>
      <c r="T372" s="2">
        <v>5</v>
      </c>
      <c r="U372" s="2" t="str" cm="1">
        <f t="array" ref="U372">_xlfn.IFS(N372&gt;200000,"PEAK SALES",N372&gt;100000,"GOOD SALES",N372&gt;50000,"AVERAGE SALES",N372&lt;50000,"PROFIT",N372&lt;10000,"LOSS")</f>
        <v>PROFIT</v>
      </c>
      <c r="V372" s="2">
        <f t="shared" si="5"/>
        <v>1</v>
      </c>
    </row>
    <row r="373" spans="1:22" x14ac:dyDescent="0.25">
      <c r="A373" s="2">
        <v>2372</v>
      </c>
      <c r="B373" s="2" t="s">
        <v>168</v>
      </c>
      <c r="C373" s="2" t="s">
        <v>75</v>
      </c>
      <c r="D373" s="2" t="s">
        <v>59</v>
      </c>
      <c r="E373" s="2" t="s">
        <v>54</v>
      </c>
      <c r="F373" s="2" t="s">
        <v>48</v>
      </c>
      <c r="G373" s="2" t="s">
        <v>66</v>
      </c>
      <c r="H373" s="2" t="s">
        <v>26</v>
      </c>
      <c r="I373" s="2">
        <v>5</v>
      </c>
      <c r="J373" s="2">
        <v>26934</v>
      </c>
      <c r="K373" s="2">
        <v>21737.95</v>
      </c>
      <c r="L373" s="2">
        <v>13467</v>
      </c>
      <c r="M373" s="2">
        <v>306</v>
      </c>
      <c r="N373" s="2">
        <v>126705.05</v>
      </c>
      <c r="O373" s="2" t="s">
        <v>27</v>
      </c>
      <c r="P373" s="2">
        <v>19273</v>
      </c>
      <c r="Q373" s="2" t="s">
        <v>63</v>
      </c>
      <c r="R373" s="2" t="s">
        <v>37</v>
      </c>
      <c r="S373" s="2">
        <v>8</v>
      </c>
      <c r="T373" s="2">
        <v>4</v>
      </c>
      <c r="U373" s="2" t="str" cm="1">
        <f t="array" ref="U373">_xlfn.IFS(N373&gt;200000,"PEAK SALES",N373&gt;100000,"GOOD SALES",N373&gt;50000,"AVERAGE SALES",N373&lt;50000,"PROFIT",N373&lt;10000,"LOSS")</f>
        <v>GOOD SALES</v>
      </c>
      <c r="V373" s="2">
        <f t="shared" si="5"/>
        <v>3</v>
      </c>
    </row>
    <row r="374" spans="1:22" x14ac:dyDescent="0.25">
      <c r="A374" s="2">
        <v>2373</v>
      </c>
      <c r="B374" s="2" t="s">
        <v>154</v>
      </c>
      <c r="C374" s="2" t="s">
        <v>39</v>
      </c>
      <c r="D374" s="2" t="s">
        <v>73</v>
      </c>
      <c r="E374" s="2" t="s">
        <v>23</v>
      </c>
      <c r="F374" s="2" t="s">
        <v>34</v>
      </c>
      <c r="G374" s="2" t="s">
        <v>35</v>
      </c>
      <c r="H374" s="2" t="s">
        <v>61</v>
      </c>
      <c r="I374" s="2">
        <v>1</v>
      </c>
      <c r="J374" s="2">
        <v>27086</v>
      </c>
      <c r="K374" s="2">
        <v>2234.4699999999998</v>
      </c>
      <c r="L374" s="2">
        <v>2708.6</v>
      </c>
      <c r="M374" s="2">
        <v>79</v>
      </c>
      <c r="N374" s="2">
        <v>27639.13</v>
      </c>
      <c r="O374" s="2" t="s">
        <v>62</v>
      </c>
      <c r="P374" s="2">
        <v>4648</v>
      </c>
      <c r="Q374" s="2" t="s">
        <v>63</v>
      </c>
      <c r="R374" s="2" t="s">
        <v>37</v>
      </c>
      <c r="S374" s="2">
        <v>5</v>
      </c>
      <c r="T374" s="2">
        <v>3</v>
      </c>
      <c r="U374" s="2" t="str" cm="1">
        <f t="array" ref="U374">_xlfn.IFS(N374&gt;200000,"PEAK SALES",N374&gt;100000,"GOOD SALES",N374&gt;50000,"AVERAGE SALES",N374&lt;50000,"PROFIT",N374&lt;10000,"LOSS")</f>
        <v>PROFIT</v>
      </c>
      <c r="V374" s="2">
        <f t="shared" si="5"/>
        <v>4</v>
      </c>
    </row>
    <row r="375" spans="1:22" x14ac:dyDescent="0.25">
      <c r="A375" s="2">
        <v>2374</v>
      </c>
      <c r="B375" s="2" t="s">
        <v>83</v>
      </c>
      <c r="C375" s="2" t="s">
        <v>68</v>
      </c>
      <c r="D375" s="2" t="s">
        <v>22</v>
      </c>
      <c r="E375" s="2" t="s">
        <v>54</v>
      </c>
      <c r="F375" s="2" t="s">
        <v>24</v>
      </c>
      <c r="G375" s="2" t="s">
        <v>25</v>
      </c>
      <c r="H375" s="2" t="s">
        <v>42</v>
      </c>
      <c r="I375" s="2">
        <v>5</v>
      </c>
      <c r="J375" s="2">
        <v>36495</v>
      </c>
      <c r="K375" s="2">
        <v>29047.79</v>
      </c>
      <c r="L375" s="2">
        <v>18247.5</v>
      </c>
      <c r="M375" s="2">
        <v>454</v>
      </c>
      <c r="N375" s="2">
        <v>172128.71</v>
      </c>
      <c r="O375" s="2" t="s">
        <v>62</v>
      </c>
      <c r="P375" s="2">
        <v>27286</v>
      </c>
      <c r="Q375" s="2" t="s">
        <v>52</v>
      </c>
      <c r="R375" s="2" t="s">
        <v>37</v>
      </c>
      <c r="S375" s="2">
        <v>7</v>
      </c>
      <c r="T375" s="2">
        <v>4</v>
      </c>
      <c r="U375" s="2" t="str" cm="1">
        <f t="array" ref="U375">_xlfn.IFS(N375&gt;200000,"PEAK SALES",N375&gt;100000,"GOOD SALES",N375&gt;50000,"AVERAGE SALES",N375&lt;50000,"PROFIT",N375&lt;10000,"LOSS")</f>
        <v>GOOD SALES</v>
      </c>
      <c r="V375" s="2">
        <f t="shared" si="5"/>
        <v>1</v>
      </c>
    </row>
    <row r="376" spans="1:22" x14ac:dyDescent="0.25">
      <c r="A376" s="2">
        <v>2375</v>
      </c>
      <c r="B376" s="2" t="s">
        <v>180</v>
      </c>
      <c r="C376" s="2" t="s">
        <v>75</v>
      </c>
      <c r="D376" s="2" t="s">
        <v>22</v>
      </c>
      <c r="E376" s="2" t="s">
        <v>79</v>
      </c>
      <c r="F376" s="2" t="s">
        <v>24</v>
      </c>
      <c r="G376" s="2" t="s">
        <v>25</v>
      </c>
      <c r="H376" s="2" t="s">
        <v>61</v>
      </c>
      <c r="I376" s="2">
        <v>2</v>
      </c>
      <c r="J376" s="2">
        <v>12651</v>
      </c>
      <c r="K376" s="2">
        <v>2076.34</v>
      </c>
      <c r="L376" s="2">
        <v>2530.1999999999998</v>
      </c>
      <c r="M376" s="2">
        <v>434</v>
      </c>
      <c r="N376" s="2">
        <v>26189.86</v>
      </c>
      <c r="O376" s="2" t="s">
        <v>50</v>
      </c>
      <c r="P376" s="2">
        <v>5111</v>
      </c>
      <c r="Q376" s="2" t="s">
        <v>28</v>
      </c>
      <c r="R376" s="2" t="s">
        <v>37</v>
      </c>
      <c r="S376" s="2">
        <v>10</v>
      </c>
      <c r="T376" s="2">
        <v>3</v>
      </c>
      <c r="U376" s="2" t="str" cm="1">
        <f t="array" ref="U376">_xlfn.IFS(N376&gt;200000,"PEAK SALES",N376&gt;100000,"GOOD SALES",N376&gt;50000,"AVERAGE SALES",N376&lt;50000,"PROFIT",N376&lt;10000,"LOSS")</f>
        <v>PROFIT</v>
      </c>
      <c r="V376" s="2">
        <f t="shared" si="5"/>
        <v>4</v>
      </c>
    </row>
    <row r="377" spans="1:22" x14ac:dyDescent="0.25">
      <c r="A377" s="2">
        <v>2376</v>
      </c>
      <c r="B377" s="2" t="s">
        <v>101</v>
      </c>
      <c r="C377" s="2" t="s">
        <v>46</v>
      </c>
      <c r="D377" s="2" t="s">
        <v>32</v>
      </c>
      <c r="E377" s="2" t="s">
        <v>103</v>
      </c>
      <c r="F377" s="2" t="s">
        <v>34</v>
      </c>
      <c r="G377" s="2" t="s">
        <v>80</v>
      </c>
      <c r="H377" s="2" t="s">
        <v>42</v>
      </c>
      <c r="I377" s="2">
        <v>4</v>
      </c>
      <c r="J377" s="2">
        <v>50627</v>
      </c>
      <c r="K377" s="2">
        <v>18733.66</v>
      </c>
      <c r="L377" s="2">
        <v>20250.8</v>
      </c>
      <c r="M377" s="2">
        <v>168</v>
      </c>
      <c r="N377" s="2">
        <v>204193.14</v>
      </c>
      <c r="O377" s="2" t="s">
        <v>27</v>
      </c>
      <c r="P377" s="2">
        <v>57532</v>
      </c>
      <c r="Q377" s="2" t="s">
        <v>63</v>
      </c>
      <c r="R377" s="2" t="s">
        <v>44</v>
      </c>
      <c r="S377" s="2">
        <v>8</v>
      </c>
      <c r="T377" s="2">
        <v>4</v>
      </c>
      <c r="U377" s="2" t="str" cm="1">
        <f t="array" ref="U377">_xlfn.IFS(N377&gt;200000,"PEAK SALES",N377&gt;100000,"GOOD SALES",N377&gt;50000,"AVERAGE SALES",N377&lt;50000,"PROFIT",N377&lt;10000,"LOSS")</f>
        <v>PEAK SALES</v>
      </c>
      <c r="V377" s="2">
        <f t="shared" si="5"/>
        <v>2</v>
      </c>
    </row>
    <row r="378" spans="1:22" x14ac:dyDescent="0.25">
      <c r="A378" s="2">
        <v>2377</v>
      </c>
      <c r="B378" s="2" t="s">
        <v>148</v>
      </c>
      <c r="C378" s="2" t="s">
        <v>68</v>
      </c>
      <c r="D378" s="2" t="s">
        <v>32</v>
      </c>
      <c r="E378" s="2" t="s">
        <v>103</v>
      </c>
      <c r="F378" s="2" t="s">
        <v>24</v>
      </c>
      <c r="G378" s="2" t="s">
        <v>25</v>
      </c>
      <c r="H378" s="2" t="s">
        <v>61</v>
      </c>
      <c r="I378" s="2">
        <v>1</v>
      </c>
      <c r="J378" s="2">
        <v>54623</v>
      </c>
      <c r="K378" s="2">
        <v>2807.6</v>
      </c>
      <c r="L378" s="2">
        <v>5462.3</v>
      </c>
      <c r="M378" s="2">
        <v>338</v>
      </c>
      <c r="N378" s="2">
        <v>57615.7</v>
      </c>
      <c r="O378" s="2" t="s">
        <v>50</v>
      </c>
      <c r="P378" s="2">
        <v>16014</v>
      </c>
      <c r="Q378" s="2" t="s">
        <v>52</v>
      </c>
      <c r="R378" s="2" t="s">
        <v>29</v>
      </c>
      <c r="S378" s="2">
        <v>9</v>
      </c>
      <c r="T378" s="2">
        <v>5</v>
      </c>
      <c r="U378" s="2" t="str" cm="1">
        <f t="array" ref="U378">_xlfn.IFS(N378&gt;200000,"PEAK SALES",N378&gt;100000,"GOOD SALES",N378&gt;50000,"AVERAGE SALES",N378&lt;50000,"PROFIT",N378&lt;10000,"LOSS")</f>
        <v>AVERAGE SALES</v>
      </c>
      <c r="V378" s="2">
        <f t="shared" si="5"/>
        <v>4</v>
      </c>
    </row>
    <row r="379" spans="1:22" x14ac:dyDescent="0.25">
      <c r="A379" s="2">
        <v>2378</v>
      </c>
      <c r="B379" s="2" t="s">
        <v>138</v>
      </c>
      <c r="C379" s="2" t="s">
        <v>65</v>
      </c>
      <c r="D379" s="2" t="s">
        <v>22</v>
      </c>
      <c r="E379" s="2" t="s">
        <v>23</v>
      </c>
      <c r="F379" s="2" t="s">
        <v>48</v>
      </c>
      <c r="G379" s="2" t="s">
        <v>66</v>
      </c>
      <c r="H379" s="2" t="s">
        <v>26</v>
      </c>
      <c r="I379" s="2">
        <v>1</v>
      </c>
      <c r="J379" s="2">
        <v>8321</v>
      </c>
      <c r="K379" s="2">
        <v>484.21</v>
      </c>
      <c r="L379" s="2">
        <v>832.1</v>
      </c>
      <c r="M379" s="2">
        <v>70</v>
      </c>
      <c r="N379" s="2">
        <v>8738.89</v>
      </c>
      <c r="O379" s="2" t="s">
        <v>43</v>
      </c>
      <c r="P379" s="2">
        <v>2101</v>
      </c>
      <c r="Q379" s="2" t="s">
        <v>28</v>
      </c>
      <c r="R379" s="2" t="s">
        <v>37</v>
      </c>
      <c r="S379" s="2">
        <v>10</v>
      </c>
      <c r="T379" s="2">
        <v>5</v>
      </c>
      <c r="U379" s="2" t="str" cm="1">
        <f t="array" ref="U379">_xlfn.IFS(N379&gt;200000,"PEAK SALES",N379&gt;100000,"GOOD SALES",N379&gt;50000,"AVERAGE SALES",N379&lt;50000,"PROFIT",N379&lt;10000,"LOSS")</f>
        <v>PROFIT</v>
      </c>
      <c r="V379" s="2">
        <f t="shared" si="5"/>
        <v>2</v>
      </c>
    </row>
    <row r="380" spans="1:22" x14ac:dyDescent="0.25">
      <c r="A380" s="2">
        <v>2379</v>
      </c>
      <c r="B380" s="2" t="s">
        <v>117</v>
      </c>
      <c r="C380" s="2" t="s">
        <v>75</v>
      </c>
      <c r="D380" s="2" t="s">
        <v>73</v>
      </c>
      <c r="E380" s="2" t="s">
        <v>47</v>
      </c>
      <c r="F380" s="2" t="s">
        <v>34</v>
      </c>
      <c r="G380" s="2" t="s">
        <v>35</v>
      </c>
      <c r="H380" s="2" t="s">
        <v>61</v>
      </c>
      <c r="I380" s="2">
        <v>1</v>
      </c>
      <c r="J380" s="2">
        <v>32561</v>
      </c>
      <c r="K380" s="2">
        <v>3307</v>
      </c>
      <c r="L380" s="2">
        <v>3256.1</v>
      </c>
      <c r="M380" s="2">
        <v>431</v>
      </c>
      <c r="N380" s="2">
        <v>32941.1</v>
      </c>
      <c r="O380" s="2" t="s">
        <v>62</v>
      </c>
      <c r="P380" s="2">
        <v>6269</v>
      </c>
      <c r="Q380" s="2" t="s">
        <v>63</v>
      </c>
      <c r="R380" s="2" t="s">
        <v>29</v>
      </c>
      <c r="S380" s="2">
        <v>5</v>
      </c>
      <c r="T380" s="2">
        <v>2</v>
      </c>
      <c r="U380" s="2" t="str" cm="1">
        <f t="array" ref="U380">_xlfn.IFS(N380&gt;200000,"PEAK SALES",N380&gt;100000,"GOOD SALES",N380&gt;50000,"AVERAGE SALES",N380&lt;50000,"PROFIT",N380&lt;10000,"LOSS")</f>
        <v>PROFIT</v>
      </c>
      <c r="V380" s="2">
        <f t="shared" si="5"/>
        <v>4</v>
      </c>
    </row>
    <row r="381" spans="1:22" x14ac:dyDescent="0.25">
      <c r="A381" s="2">
        <v>2380</v>
      </c>
      <c r="B381" s="2" t="s">
        <v>81</v>
      </c>
      <c r="C381" s="2" t="s">
        <v>65</v>
      </c>
      <c r="D381" s="2" t="s">
        <v>59</v>
      </c>
      <c r="E381" s="2" t="s">
        <v>23</v>
      </c>
      <c r="F381" s="2" t="s">
        <v>24</v>
      </c>
      <c r="G381" s="2" t="s">
        <v>25</v>
      </c>
      <c r="H381" s="2" t="s">
        <v>42</v>
      </c>
      <c r="I381" s="2">
        <v>1</v>
      </c>
      <c r="J381" s="2">
        <v>16843</v>
      </c>
      <c r="K381" s="2">
        <v>1784.49</v>
      </c>
      <c r="L381" s="2">
        <v>1684.3</v>
      </c>
      <c r="M381" s="2">
        <v>400</v>
      </c>
      <c r="N381" s="2">
        <v>17142.810000000001</v>
      </c>
      <c r="O381" s="2" t="s">
        <v>62</v>
      </c>
      <c r="P381" s="2">
        <v>4574</v>
      </c>
      <c r="Q381" s="2" t="s">
        <v>63</v>
      </c>
      <c r="R381" s="2" t="s">
        <v>37</v>
      </c>
      <c r="S381" s="2">
        <v>6</v>
      </c>
      <c r="T381" s="2">
        <v>2</v>
      </c>
      <c r="U381" s="2" t="str" cm="1">
        <f t="array" ref="U381">_xlfn.IFS(N381&gt;200000,"PEAK SALES",N381&gt;100000,"GOOD SALES",N381&gt;50000,"AVERAGE SALES",N381&lt;50000,"PROFIT",N381&lt;10000,"LOSS")</f>
        <v>PROFIT</v>
      </c>
      <c r="V381" s="2">
        <f t="shared" si="5"/>
        <v>4</v>
      </c>
    </row>
    <row r="382" spans="1:22" x14ac:dyDescent="0.25">
      <c r="A382" s="2">
        <v>2381</v>
      </c>
      <c r="B382" s="2" t="s">
        <v>168</v>
      </c>
      <c r="C382" s="2" t="s">
        <v>39</v>
      </c>
      <c r="D382" s="2" t="s">
        <v>73</v>
      </c>
      <c r="E382" s="2" t="s">
        <v>33</v>
      </c>
      <c r="F382" s="2" t="s">
        <v>48</v>
      </c>
      <c r="G382" s="2" t="s">
        <v>77</v>
      </c>
      <c r="H382" s="2" t="s">
        <v>42</v>
      </c>
      <c r="I382" s="2">
        <v>4</v>
      </c>
      <c r="J382" s="2">
        <v>33734</v>
      </c>
      <c r="K382" s="2">
        <v>11040.67</v>
      </c>
      <c r="L382" s="2">
        <v>13493.6</v>
      </c>
      <c r="M382" s="2">
        <v>189</v>
      </c>
      <c r="N382" s="2">
        <v>137577.93</v>
      </c>
      <c r="O382" s="2" t="s">
        <v>43</v>
      </c>
      <c r="P382" s="2">
        <v>38976</v>
      </c>
      <c r="Q382" s="2" t="s">
        <v>28</v>
      </c>
      <c r="R382" s="2" t="s">
        <v>44</v>
      </c>
      <c r="S382" s="2">
        <v>6</v>
      </c>
      <c r="T382" s="2">
        <v>3</v>
      </c>
      <c r="U382" s="2" t="str" cm="1">
        <f t="array" ref="U382">_xlfn.IFS(N382&gt;200000,"PEAK SALES",N382&gt;100000,"GOOD SALES",N382&gt;50000,"AVERAGE SALES",N382&lt;50000,"PROFIT",N382&lt;10000,"LOSS")</f>
        <v>GOOD SALES</v>
      </c>
      <c r="V382" s="2">
        <f t="shared" si="5"/>
        <v>3</v>
      </c>
    </row>
    <row r="383" spans="1:22" x14ac:dyDescent="0.25">
      <c r="A383" s="2">
        <v>2382</v>
      </c>
      <c r="B383" s="2" t="s">
        <v>181</v>
      </c>
      <c r="C383" s="2" t="s">
        <v>31</v>
      </c>
      <c r="D383" s="2" t="s">
        <v>73</v>
      </c>
      <c r="E383" s="2" t="s">
        <v>54</v>
      </c>
      <c r="F383" s="2" t="s">
        <v>24</v>
      </c>
      <c r="G383" s="2" t="s">
        <v>25</v>
      </c>
      <c r="H383" s="2" t="s">
        <v>42</v>
      </c>
      <c r="I383" s="2">
        <v>5</v>
      </c>
      <c r="J383" s="2">
        <v>16720</v>
      </c>
      <c r="K383" s="2">
        <v>4996.3500000000004</v>
      </c>
      <c r="L383" s="2">
        <v>8360</v>
      </c>
      <c r="M383" s="2">
        <v>402</v>
      </c>
      <c r="N383" s="2">
        <v>87365.65</v>
      </c>
      <c r="O383" s="2" t="s">
        <v>50</v>
      </c>
      <c r="P383" s="2">
        <v>15967</v>
      </c>
      <c r="Q383" s="2" t="s">
        <v>63</v>
      </c>
      <c r="R383" s="2" t="s">
        <v>29</v>
      </c>
      <c r="S383" s="2">
        <v>4</v>
      </c>
      <c r="T383" s="2">
        <v>4</v>
      </c>
      <c r="U383" s="2" t="str" cm="1">
        <f t="array" ref="U383">_xlfn.IFS(N383&gt;200000,"PEAK SALES",N383&gt;100000,"GOOD SALES",N383&gt;50000,"AVERAGE SALES",N383&lt;50000,"PROFIT",N383&lt;10000,"LOSS")</f>
        <v>AVERAGE SALES</v>
      </c>
      <c r="V383" s="2">
        <f t="shared" si="5"/>
        <v>1</v>
      </c>
    </row>
    <row r="384" spans="1:22" x14ac:dyDescent="0.25">
      <c r="A384" s="2">
        <v>2383</v>
      </c>
      <c r="B384" s="2" t="s">
        <v>176</v>
      </c>
      <c r="C384" s="2" t="s">
        <v>58</v>
      </c>
      <c r="D384" s="2" t="s">
        <v>73</v>
      </c>
      <c r="E384" s="2" t="s">
        <v>54</v>
      </c>
      <c r="F384" s="2" t="s">
        <v>34</v>
      </c>
      <c r="G384" s="2" t="s">
        <v>60</v>
      </c>
      <c r="H384" s="2" t="s">
        <v>26</v>
      </c>
      <c r="I384" s="2">
        <v>5</v>
      </c>
      <c r="J384" s="2">
        <v>31330</v>
      </c>
      <c r="K384" s="2">
        <v>23685.46</v>
      </c>
      <c r="L384" s="2">
        <v>15665</v>
      </c>
      <c r="M384" s="2">
        <v>289</v>
      </c>
      <c r="N384" s="2">
        <v>148918.54</v>
      </c>
      <c r="O384" s="2" t="s">
        <v>50</v>
      </c>
      <c r="P384" s="2">
        <v>18567</v>
      </c>
      <c r="Q384" s="2" t="s">
        <v>52</v>
      </c>
      <c r="R384" s="2" t="s">
        <v>29</v>
      </c>
      <c r="S384" s="2">
        <v>6</v>
      </c>
      <c r="T384" s="2">
        <v>2</v>
      </c>
      <c r="U384" s="2" t="str" cm="1">
        <f t="array" ref="U384">_xlfn.IFS(N384&gt;200000,"PEAK SALES",N384&gt;100000,"GOOD SALES",N384&gt;50000,"AVERAGE SALES",N384&lt;50000,"PROFIT",N384&lt;10000,"LOSS")</f>
        <v>GOOD SALES</v>
      </c>
      <c r="V384" s="2">
        <f t="shared" si="5"/>
        <v>3</v>
      </c>
    </row>
    <row r="385" spans="1:22" x14ac:dyDescent="0.25">
      <c r="A385" s="2">
        <v>2384</v>
      </c>
      <c r="B385" s="2" t="s">
        <v>125</v>
      </c>
      <c r="C385" s="2" t="s">
        <v>72</v>
      </c>
      <c r="D385" s="2" t="s">
        <v>59</v>
      </c>
      <c r="E385" s="2" t="s">
        <v>40</v>
      </c>
      <c r="F385" s="2" t="s">
        <v>34</v>
      </c>
      <c r="G385" s="2" t="s">
        <v>80</v>
      </c>
      <c r="H385" s="2" t="s">
        <v>26</v>
      </c>
      <c r="I385" s="2">
        <v>4</v>
      </c>
      <c r="J385" s="2">
        <v>4583</v>
      </c>
      <c r="K385" s="2">
        <v>3454.3</v>
      </c>
      <c r="L385" s="2">
        <v>1833.2</v>
      </c>
      <c r="M385" s="2">
        <v>56</v>
      </c>
      <c r="N385" s="2">
        <v>16766.900000000001</v>
      </c>
      <c r="O385" s="2" t="s">
        <v>62</v>
      </c>
      <c r="P385" s="2">
        <v>4799</v>
      </c>
      <c r="Q385" s="2" t="s">
        <v>28</v>
      </c>
      <c r="R385" s="2" t="s">
        <v>37</v>
      </c>
      <c r="S385" s="2">
        <v>6</v>
      </c>
      <c r="T385" s="2">
        <v>1</v>
      </c>
      <c r="U385" s="2" t="str" cm="1">
        <f t="array" ref="U385">_xlfn.IFS(N385&gt;200000,"PEAK SALES",N385&gt;100000,"GOOD SALES",N385&gt;50000,"AVERAGE SALES",N385&lt;50000,"PROFIT",N385&lt;10000,"LOSS")</f>
        <v>PROFIT</v>
      </c>
      <c r="V385" s="2">
        <f t="shared" si="5"/>
        <v>1</v>
      </c>
    </row>
    <row r="386" spans="1:22" x14ac:dyDescent="0.25">
      <c r="A386" s="2">
        <v>2385</v>
      </c>
      <c r="B386" s="2" t="s">
        <v>88</v>
      </c>
      <c r="C386" s="2" t="s">
        <v>68</v>
      </c>
      <c r="D386" s="2" t="s">
        <v>59</v>
      </c>
      <c r="E386" s="2" t="s">
        <v>23</v>
      </c>
      <c r="F386" s="2" t="s">
        <v>34</v>
      </c>
      <c r="G386" s="2" t="s">
        <v>35</v>
      </c>
      <c r="H386" s="2" t="s">
        <v>61</v>
      </c>
      <c r="I386" s="2">
        <v>5</v>
      </c>
      <c r="J386" s="2">
        <v>19527</v>
      </c>
      <c r="K386" s="2">
        <v>12373.87</v>
      </c>
      <c r="L386" s="2">
        <v>9763.5</v>
      </c>
      <c r="M386" s="2">
        <v>179</v>
      </c>
      <c r="N386" s="2">
        <v>95203.63</v>
      </c>
      <c r="O386" s="2" t="s">
        <v>62</v>
      </c>
      <c r="P386" s="2">
        <v>21778</v>
      </c>
      <c r="Q386" s="2" t="s">
        <v>52</v>
      </c>
      <c r="R386" s="2" t="s">
        <v>37</v>
      </c>
      <c r="S386" s="2">
        <v>8</v>
      </c>
      <c r="T386" s="2">
        <v>2</v>
      </c>
      <c r="U386" s="2" t="str" cm="1">
        <f t="array" ref="U386">_xlfn.IFS(N386&gt;200000,"PEAK SALES",N386&gt;100000,"GOOD SALES",N386&gt;50000,"AVERAGE SALES",N386&lt;50000,"PROFIT",N386&lt;10000,"LOSS")</f>
        <v>AVERAGE SALES</v>
      </c>
      <c r="V386" s="2">
        <f t="shared" si="5"/>
        <v>3</v>
      </c>
    </row>
    <row r="387" spans="1:22" x14ac:dyDescent="0.25">
      <c r="A387" s="2">
        <v>2386</v>
      </c>
      <c r="B387" s="2" t="s">
        <v>100</v>
      </c>
      <c r="C387" s="2" t="s">
        <v>72</v>
      </c>
      <c r="D387" s="2" t="s">
        <v>22</v>
      </c>
      <c r="E387" s="2" t="s">
        <v>23</v>
      </c>
      <c r="F387" s="2" t="s">
        <v>24</v>
      </c>
      <c r="G387" s="2" t="s">
        <v>25</v>
      </c>
      <c r="H387" s="2" t="s">
        <v>36</v>
      </c>
      <c r="I387" s="2">
        <v>2</v>
      </c>
      <c r="J387" s="2">
        <v>50832</v>
      </c>
      <c r="K387" s="2">
        <v>11481.65</v>
      </c>
      <c r="L387" s="2">
        <v>10166.4</v>
      </c>
      <c r="M387" s="2">
        <v>254</v>
      </c>
      <c r="N387" s="2">
        <v>100602.75</v>
      </c>
      <c r="O387" s="2" t="s">
        <v>43</v>
      </c>
      <c r="P387" s="2">
        <v>20513</v>
      </c>
      <c r="Q387" s="2" t="s">
        <v>28</v>
      </c>
      <c r="R387" s="2" t="s">
        <v>37</v>
      </c>
      <c r="S387" s="2">
        <v>2</v>
      </c>
      <c r="T387" s="2">
        <v>5</v>
      </c>
      <c r="U387" s="2" t="str" cm="1">
        <f t="array" ref="U387">_xlfn.IFS(N387&gt;200000,"PEAK SALES",N387&gt;100000,"GOOD SALES",N387&gt;50000,"AVERAGE SALES",N387&lt;50000,"PROFIT",N387&lt;10000,"LOSS")</f>
        <v>GOOD SALES</v>
      </c>
      <c r="V387" s="2">
        <f t="shared" ref="V387:V450" si="6">MONTH(B387)</f>
        <v>2</v>
      </c>
    </row>
    <row r="388" spans="1:22" x14ac:dyDescent="0.25">
      <c r="A388" s="2">
        <v>2387</v>
      </c>
      <c r="B388" s="2" t="s">
        <v>173</v>
      </c>
      <c r="C388" s="2" t="s">
        <v>72</v>
      </c>
      <c r="D388" s="2" t="s">
        <v>32</v>
      </c>
      <c r="E388" s="2" t="s">
        <v>56</v>
      </c>
      <c r="F388" s="2" t="s">
        <v>34</v>
      </c>
      <c r="G388" s="2" t="s">
        <v>60</v>
      </c>
      <c r="H388" s="2" t="s">
        <v>26</v>
      </c>
      <c r="I388" s="2">
        <v>4</v>
      </c>
      <c r="J388" s="2">
        <v>44533</v>
      </c>
      <c r="K388" s="2">
        <v>10572.01</v>
      </c>
      <c r="L388" s="2">
        <v>17813.2</v>
      </c>
      <c r="M388" s="2">
        <v>281</v>
      </c>
      <c r="N388" s="2">
        <v>185654.19</v>
      </c>
      <c r="O388" s="2" t="s">
        <v>27</v>
      </c>
      <c r="P388" s="2">
        <v>38815</v>
      </c>
      <c r="Q388" s="2" t="s">
        <v>52</v>
      </c>
      <c r="R388" s="2" t="s">
        <v>29</v>
      </c>
      <c r="S388" s="2">
        <v>3</v>
      </c>
      <c r="T388" s="2">
        <v>2</v>
      </c>
      <c r="U388" s="2" t="str" cm="1">
        <f t="array" ref="U388">_xlfn.IFS(N388&gt;200000,"PEAK SALES",N388&gt;100000,"GOOD SALES",N388&gt;50000,"AVERAGE SALES",N388&lt;50000,"PROFIT",N388&lt;10000,"LOSS")</f>
        <v>GOOD SALES</v>
      </c>
      <c r="V388" s="2">
        <f t="shared" si="6"/>
        <v>2</v>
      </c>
    </row>
    <row r="389" spans="1:22" x14ac:dyDescent="0.25">
      <c r="A389" s="2">
        <v>2388</v>
      </c>
      <c r="B389" s="2" t="s">
        <v>161</v>
      </c>
      <c r="C389" s="2" t="s">
        <v>72</v>
      </c>
      <c r="D389" s="2" t="s">
        <v>59</v>
      </c>
      <c r="E389" s="2" t="s">
        <v>40</v>
      </c>
      <c r="F389" s="2" t="s">
        <v>24</v>
      </c>
      <c r="G389" s="2" t="s">
        <v>69</v>
      </c>
      <c r="H389" s="2" t="s">
        <v>26</v>
      </c>
      <c r="I389" s="2">
        <v>2</v>
      </c>
      <c r="J389" s="2">
        <v>34294</v>
      </c>
      <c r="K389" s="2">
        <v>5813.73</v>
      </c>
      <c r="L389" s="2">
        <v>6858.8</v>
      </c>
      <c r="M389" s="2">
        <v>455</v>
      </c>
      <c r="N389" s="2">
        <v>70088.070000000007</v>
      </c>
      <c r="O389" s="2" t="s">
        <v>62</v>
      </c>
      <c r="P389" s="2">
        <v>14549</v>
      </c>
      <c r="Q389" s="2" t="s">
        <v>63</v>
      </c>
      <c r="R389" s="2" t="s">
        <v>29</v>
      </c>
      <c r="S389" s="2">
        <v>6</v>
      </c>
      <c r="T389" s="2">
        <v>3</v>
      </c>
      <c r="U389" s="2" t="str" cm="1">
        <f t="array" ref="U389">_xlfn.IFS(N389&gt;200000,"PEAK SALES",N389&gt;100000,"GOOD SALES",N389&gt;50000,"AVERAGE SALES",N389&lt;50000,"PROFIT",N389&lt;10000,"LOSS")</f>
        <v>AVERAGE SALES</v>
      </c>
      <c r="V389" s="2">
        <f t="shared" si="6"/>
        <v>2</v>
      </c>
    </row>
    <row r="390" spans="1:22" x14ac:dyDescent="0.25">
      <c r="A390" s="2">
        <v>2389</v>
      </c>
      <c r="B390" s="2" t="s">
        <v>84</v>
      </c>
      <c r="C390" s="2" t="s">
        <v>75</v>
      </c>
      <c r="D390" s="2" t="s">
        <v>32</v>
      </c>
      <c r="E390" s="2" t="s">
        <v>33</v>
      </c>
      <c r="F390" s="2" t="s">
        <v>34</v>
      </c>
      <c r="G390" s="2" t="s">
        <v>41</v>
      </c>
      <c r="H390" s="2" t="s">
        <v>42</v>
      </c>
      <c r="I390" s="2">
        <v>4</v>
      </c>
      <c r="J390" s="2">
        <v>44052</v>
      </c>
      <c r="K390" s="2">
        <v>14012.7</v>
      </c>
      <c r="L390" s="2">
        <v>17620.8</v>
      </c>
      <c r="M390" s="2">
        <v>309</v>
      </c>
      <c r="N390" s="2">
        <v>180125.1</v>
      </c>
      <c r="O390" s="2" t="s">
        <v>62</v>
      </c>
      <c r="P390" s="2">
        <v>47630</v>
      </c>
      <c r="Q390" s="2" t="s">
        <v>52</v>
      </c>
      <c r="R390" s="2" t="s">
        <v>37</v>
      </c>
      <c r="S390" s="2">
        <v>4</v>
      </c>
      <c r="T390" s="2">
        <v>1</v>
      </c>
      <c r="U390" s="2" t="str" cm="1">
        <f t="array" ref="U390">_xlfn.IFS(N390&gt;200000,"PEAK SALES",N390&gt;100000,"GOOD SALES",N390&gt;50000,"AVERAGE SALES",N390&lt;50000,"PROFIT",N390&lt;10000,"LOSS")</f>
        <v>GOOD SALES</v>
      </c>
      <c r="V390" s="2">
        <f t="shared" si="6"/>
        <v>2</v>
      </c>
    </row>
    <row r="391" spans="1:22" x14ac:dyDescent="0.25">
      <c r="A391" s="2">
        <v>2390</v>
      </c>
      <c r="B391" s="2" t="s">
        <v>30</v>
      </c>
      <c r="C391" s="2" t="s">
        <v>39</v>
      </c>
      <c r="D391" s="2" t="s">
        <v>73</v>
      </c>
      <c r="E391" s="2" t="s">
        <v>79</v>
      </c>
      <c r="F391" s="2" t="s">
        <v>48</v>
      </c>
      <c r="G391" s="2" t="s">
        <v>66</v>
      </c>
      <c r="H391" s="2" t="s">
        <v>26</v>
      </c>
      <c r="I391" s="2">
        <v>1</v>
      </c>
      <c r="J391" s="2">
        <v>10330</v>
      </c>
      <c r="K391" s="2">
        <v>1150.19</v>
      </c>
      <c r="L391" s="2">
        <v>1033</v>
      </c>
      <c r="M391" s="2">
        <v>420</v>
      </c>
      <c r="N391" s="2">
        <v>10632.81</v>
      </c>
      <c r="O391" s="2" t="s">
        <v>27</v>
      </c>
      <c r="P391" s="2">
        <v>1554</v>
      </c>
      <c r="Q391" s="2" t="s">
        <v>63</v>
      </c>
      <c r="R391" s="2" t="s">
        <v>37</v>
      </c>
      <c r="S391" s="2">
        <v>6</v>
      </c>
      <c r="T391" s="2">
        <v>1</v>
      </c>
      <c r="U391" s="2" t="str" cm="1">
        <f t="array" ref="U391">_xlfn.IFS(N391&gt;200000,"PEAK SALES",N391&gt;100000,"GOOD SALES",N391&gt;50000,"AVERAGE SALES",N391&lt;50000,"PROFIT",N391&lt;10000,"LOSS")</f>
        <v>PROFIT</v>
      </c>
      <c r="V391" s="2">
        <f t="shared" si="6"/>
        <v>3</v>
      </c>
    </row>
    <row r="392" spans="1:22" x14ac:dyDescent="0.25">
      <c r="A392" s="2">
        <v>2391</v>
      </c>
      <c r="B392" s="2" t="s">
        <v>93</v>
      </c>
      <c r="C392" s="2" t="s">
        <v>72</v>
      </c>
      <c r="D392" s="2" t="s">
        <v>59</v>
      </c>
      <c r="E392" s="2" t="s">
        <v>23</v>
      </c>
      <c r="F392" s="2" t="s">
        <v>34</v>
      </c>
      <c r="G392" s="2" t="s">
        <v>60</v>
      </c>
      <c r="H392" s="2" t="s">
        <v>61</v>
      </c>
      <c r="I392" s="2">
        <v>4</v>
      </c>
      <c r="J392" s="2">
        <v>48239</v>
      </c>
      <c r="K392" s="2">
        <v>14112.08</v>
      </c>
      <c r="L392" s="2">
        <v>19295.599999999999</v>
      </c>
      <c r="M392" s="2">
        <v>194</v>
      </c>
      <c r="N392" s="2">
        <v>198333.52</v>
      </c>
      <c r="O392" s="2" t="s">
        <v>50</v>
      </c>
      <c r="P392" s="2">
        <v>43517</v>
      </c>
      <c r="Q392" s="2" t="s">
        <v>63</v>
      </c>
      <c r="R392" s="2" t="s">
        <v>37</v>
      </c>
      <c r="S392" s="2">
        <v>3</v>
      </c>
      <c r="T392" s="2">
        <v>3</v>
      </c>
      <c r="U392" s="2" t="str" cm="1">
        <f t="array" ref="U392">_xlfn.IFS(N392&gt;200000,"PEAK SALES",N392&gt;100000,"GOOD SALES",N392&gt;50000,"AVERAGE SALES",N392&lt;50000,"PROFIT",N392&lt;10000,"LOSS")</f>
        <v>GOOD SALES</v>
      </c>
      <c r="V392" s="2">
        <f t="shared" si="6"/>
        <v>4</v>
      </c>
    </row>
    <row r="393" spans="1:22" x14ac:dyDescent="0.25">
      <c r="A393" s="2">
        <v>2392</v>
      </c>
      <c r="B393" s="2" t="s">
        <v>112</v>
      </c>
      <c r="C393" s="2" t="s">
        <v>21</v>
      </c>
      <c r="D393" s="2" t="s">
        <v>22</v>
      </c>
      <c r="E393" s="2" t="s">
        <v>23</v>
      </c>
      <c r="F393" s="2" t="s">
        <v>34</v>
      </c>
      <c r="G393" s="2" t="s">
        <v>41</v>
      </c>
      <c r="H393" s="2" t="s">
        <v>26</v>
      </c>
      <c r="I393" s="2">
        <v>5</v>
      </c>
      <c r="J393" s="2">
        <v>59394</v>
      </c>
      <c r="K393" s="2">
        <v>37630.6</v>
      </c>
      <c r="L393" s="2">
        <v>29697</v>
      </c>
      <c r="M393" s="2">
        <v>429</v>
      </c>
      <c r="N393" s="2">
        <v>289465.40000000002</v>
      </c>
      <c r="O393" s="2" t="s">
        <v>62</v>
      </c>
      <c r="P393" s="2">
        <v>41214</v>
      </c>
      <c r="Q393" s="2" t="s">
        <v>28</v>
      </c>
      <c r="R393" s="2" t="s">
        <v>37</v>
      </c>
      <c r="S393" s="2">
        <v>2</v>
      </c>
      <c r="T393" s="2">
        <v>3</v>
      </c>
      <c r="U393" s="2" t="str" cm="1">
        <f t="array" ref="U393">_xlfn.IFS(N393&gt;200000,"PEAK SALES",N393&gt;100000,"GOOD SALES",N393&gt;50000,"AVERAGE SALES",N393&lt;50000,"PROFIT",N393&lt;10000,"LOSS")</f>
        <v>PEAK SALES</v>
      </c>
      <c r="V393" s="2">
        <f t="shared" si="6"/>
        <v>1</v>
      </c>
    </row>
    <row r="394" spans="1:22" x14ac:dyDescent="0.25">
      <c r="A394" s="2">
        <v>2393</v>
      </c>
      <c r="B394" s="2" t="s">
        <v>114</v>
      </c>
      <c r="C394" s="2" t="s">
        <v>68</v>
      </c>
      <c r="D394" s="2" t="s">
        <v>22</v>
      </c>
      <c r="E394" s="2" t="s">
        <v>103</v>
      </c>
      <c r="F394" s="2" t="s">
        <v>34</v>
      </c>
      <c r="G394" s="2" t="s">
        <v>35</v>
      </c>
      <c r="H394" s="2" t="s">
        <v>42</v>
      </c>
      <c r="I394" s="2">
        <v>5</v>
      </c>
      <c r="J394" s="2">
        <v>4113</v>
      </c>
      <c r="K394" s="2">
        <v>2185.91</v>
      </c>
      <c r="L394" s="2">
        <v>2056.5</v>
      </c>
      <c r="M394" s="2">
        <v>205</v>
      </c>
      <c r="N394" s="2">
        <v>20640.59</v>
      </c>
      <c r="O394" s="2" t="s">
        <v>43</v>
      </c>
      <c r="P394" s="2">
        <v>5148</v>
      </c>
      <c r="Q394" s="2" t="s">
        <v>63</v>
      </c>
      <c r="R394" s="2" t="s">
        <v>29</v>
      </c>
      <c r="S394" s="2">
        <v>10</v>
      </c>
      <c r="T394" s="2">
        <v>4</v>
      </c>
      <c r="U394" s="2" t="str" cm="1">
        <f t="array" ref="U394">_xlfn.IFS(N394&gt;200000,"PEAK SALES",N394&gt;100000,"GOOD SALES",N394&gt;50000,"AVERAGE SALES",N394&lt;50000,"PROFIT",N394&lt;10000,"LOSS")</f>
        <v>PROFIT</v>
      </c>
      <c r="V394" s="2">
        <f t="shared" si="6"/>
        <v>1</v>
      </c>
    </row>
    <row r="395" spans="1:22" x14ac:dyDescent="0.25">
      <c r="A395" s="2">
        <v>2394</v>
      </c>
      <c r="B395" s="2" t="s">
        <v>109</v>
      </c>
      <c r="C395" s="2" t="s">
        <v>58</v>
      </c>
      <c r="D395" s="2" t="s">
        <v>22</v>
      </c>
      <c r="E395" s="2" t="s">
        <v>56</v>
      </c>
      <c r="F395" s="2" t="s">
        <v>48</v>
      </c>
      <c r="G395" s="2" t="s">
        <v>77</v>
      </c>
      <c r="H395" s="2" t="s">
        <v>61</v>
      </c>
      <c r="I395" s="2">
        <v>5</v>
      </c>
      <c r="J395" s="2">
        <v>52170</v>
      </c>
      <c r="K395" s="2">
        <v>17398.75</v>
      </c>
      <c r="L395" s="2">
        <v>26085</v>
      </c>
      <c r="M395" s="2">
        <v>340</v>
      </c>
      <c r="N395" s="2">
        <v>269876.25</v>
      </c>
      <c r="O395" s="2" t="s">
        <v>50</v>
      </c>
      <c r="P395" s="2">
        <v>42744</v>
      </c>
      <c r="Q395" s="2" t="s">
        <v>28</v>
      </c>
      <c r="R395" s="2" t="s">
        <v>29</v>
      </c>
      <c r="S395" s="2">
        <v>8</v>
      </c>
      <c r="T395" s="2">
        <v>4</v>
      </c>
      <c r="U395" s="2" t="str" cm="1">
        <f t="array" ref="U395">_xlfn.IFS(N395&gt;200000,"PEAK SALES",N395&gt;100000,"GOOD SALES",N395&gt;50000,"AVERAGE SALES",N395&lt;50000,"PROFIT",N395&lt;10000,"LOSS")</f>
        <v>PEAK SALES</v>
      </c>
      <c r="V395" s="2">
        <f t="shared" si="6"/>
        <v>4</v>
      </c>
    </row>
    <row r="396" spans="1:22" x14ac:dyDescent="0.25">
      <c r="A396" s="2">
        <v>2395</v>
      </c>
      <c r="B396" s="2" t="s">
        <v>38</v>
      </c>
      <c r="C396" s="2" t="s">
        <v>21</v>
      </c>
      <c r="D396" s="2" t="s">
        <v>22</v>
      </c>
      <c r="E396" s="2" t="s">
        <v>23</v>
      </c>
      <c r="F396" s="2" t="s">
        <v>48</v>
      </c>
      <c r="G396" s="2" t="s">
        <v>77</v>
      </c>
      <c r="H396" s="2" t="s">
        <v>61</v>
      </c>
      <c r="I396" s="2">
        <v>5</v>
      </c>
      <c r="J396" s="2">
        <v>45739</v>
      </c>
      <c r="K396" s="2">
        <v>15189.65</v>
      </c>
      <c r="L396" s="2">
        <v>22869.5</v>
      </c>
      <c r="M396" s="2">
        <v>360</v>
      </c>
      <c r="N396" s="2">
        <v>236734.85</v>
      </c>
      <c r="O396" s="2" t="s">
        <v>50</v>
      </c>
      <c r="P396" s="2">
        <v>48521</v>
      </c>
      <c r="Q396" s="2" t="s">
        <v>28</v>
      </c>
      <c r="R396" s="2" t="s">
        <v>29</v>
      </c>
      <c r="S396" s="2">
        <v>4</v>
      </c>
      <c r="T396" s="2">
        <v>3</v>
      </c>
      <c r="U396" s="2" t="str" cm="1">
        <f t="array" ref="U396">_xlfn.IFS(N396&gt;200000,"PEAK SALES",N396&gt;100000,"GOOD SALES",N396&gt;50000,"AVERAGE SALES",N396&lt;50000,"PROFIT",N396&lt;10000,"LOSS")</f>
        <v>PEAK SALES</v>
      </c>
      <c r="V396" s="2">
        <f t="shared" si="6"/>
        <v>3</v>
      </c>
    </row>
    <row r="397" spans="1:22" x14ac:dyDescent="0.25">
      <c r="A397" s="2">
        <v>2396</v>
      </c>
      <c r="B397" s="2" t="s">
        <v>95</v>
      </c>
      <c r="C397" s="2" t="s">
        <v>72</v>
      </c>
      <c r="D397" s="2" t="s">
        <v>22</v>
      </c>
      <c r="E397" s="2" t="s">
        <v>54</v>
      </c>
      <c r="F397" s="2" t="s">
        <v>34</v>
      </c>
      <c r="G397" s="2" t="s">
        <v>41</v>
      </c>
      <c r="H397" s="2" t="s">
        <v>26</v>
      </c>
      <c r="I397" s="2">
        <v>4</v>
      </c>
      <c r="J397" s="2">
        <v>54802</v>
      </c>
      <c r="K397" s="2">
        <v>29525.67</v>
      </c>
      <c r="L397" s="2">
        <v>21920.799999999999</v>
      </c>
      <c r="M397" s="2">
        <v>311</v>
      </c>
      <c r="N397" s="2">
        <v>211914.13</v>
      </c>
      <c r="O397" s="2" t="s">
        <v>50</v>
      </c>
      <c r="P397" s="2">
        <v>36102</v>
      </c>
      <c r="Q397" s="2" t="s">
        <v>28</v>
      </c>
      <c r="R397" s="2" t="s">
        <v>44</v>
      </c>
      <c r="S397" s="2">
        <v>2</v>
      </c>
      <c r="T397" s="2">
        <v>5</v>
      </c>
      <c r="U397" s="2" t="str" cm="1">
        <f t="array" ref="U397">_xlfn.IFS(N397&gt;200000,"PEAK SALES",N397&gt;100000,"GOOD SALES",N397&gt;50000,"AVERAGE SALES",N397&lt;50000,"PROFIT",N397&lt;10000,"LOSS")</f>
        <v>PEAK SALES</v>
      </c>
      <c r="V397" s="2">
        <f t="shared" si="6"/>
        <v>4</v>
      </c>
    </row>
    <row r="398" spans="1:22" x14ac:dyDescent="0.25">
      <c r="A398" s="2">
        <v>2397</v>
      </c>
      <c r="B398" s="2" t="s">
        <v>132</v>
      </c>
      <c r="C398" s="2" t="s">
        <v>46</v>
      </c>
      <c r="D398" s="2" t="s">
        <v>22</v>
      </c>
      <c r="E398" s="2" t="s">
        <v>40</v>
      </c>
      <c r="F398" s="2" t="s">
        <v>24</v>
      </c>
      <c r="G398" s="2" t="s">
        <v>94</v>
      </c>
      <c r="H398" s="2" t="s">
        <v>42</v>
      </c>
      <c r="I398" s="2">
        <v>1</v>
      </c>
      <c r="J398" s="2">
        <v>21906</v>
      </c>
      <c r="K398" s="2">
        <v>2825.18</v>
      </c>
      <c r="L398" s="2">
        <v>2190.6</v>
      </c>
      <c r="M398" s="2">
        <v>158</v>
      </c>
      <c r="N398" s="2">
        <v>21429.42</v>
      </c>
      <c r="O398" s="2" t="s">
        <v>27</v>
      </c>
      <c r="P398" s="2">
        <v>3630</v>
      </c>
      <c r="Q398" s="2" t="s">
        <v>28</v>
      </c>
      <c r="R398" s="2" t="s">
        <v>29</v>
      </c>
      <c r="S398" s="2">
        <v>1</v>
      </c>
      <c r="T398" s="2">
        <v>1</v>
      </c>
      <c r="U398" s="2" t="str" cm="1">
        <f t="array" ref="U398">_xlfn.IFS(N398&gt;200000,"PEAK SALES",N398&gt;100000,"GOOD SALES",N398&gt;50000,"AVERAGE SALES",N398&lt;50000,"PROFIT",N398&lt;10000,"LOSS")</f>
        <v>PROFIT</v>
      </c>
      <c r="V398" s="2">
        <f t="shared" si="6"/>
        <v>1</v>
      </c>
    </row>
    <row r="399" spans="1:22" x14ac:dyDescent="0.25">
      <c r="A399" s="2">
        <v>2398</v>
      </c>
      <c r="B399" s="2" t="s">
        <v>109</v>
      </c>
      <c r="C399" s="2" t="s">
        <v>72</v>
      </c>
      <c r="D399" s="2" t="s">
        <v>73</v>
      </c>
      <c r="E399" s="2" t="s">
        <v>47</v>
      </c>
      <c r="F399" s="2" t="s">
        <v>48</v>
      </c>
      <c r="G399" s="2" t="s">
        <v>66</v>
      </c>
      <c r="H399" s="2" t="s">
        <v>61</v>
      </c>
      <c r="I399" s="2">
        <v>4</v>
      </c>
      <c r="J399" s="2">
        <v>8041</v>
      </c>
      <c r="K399" s="2">
        <v>5868.1</v>
      </c>
      <c r="L399" s="2">
        <v>3216.4</v>
      </c>
      <c r="M399" s="2">
        <v>79</v>
      </c>
      <c r="N399" s="2">
        <v>29591.3</v>
      </c>
      <c r="O399" s="2" t="s">
        <v>27</v>
      </c>
      <c r="P399" s="2">
        <v>7402</v>
      </c>
      <c r="Q399" s="2" t="s">
        <v>63</v>
      </c>
      <c r="R399" s="2" t="s">
        <v>44</v>
      </c>
      <c r="S399" s="2">
        <v>10</v>
      </c>
      <c r="T399" s="2">
        <v>4</v>
      </c>
      <c r="U399" s="2" t="str" cm="1">
        <f t="array" ref="U399">_xlfn.IFS(N399&gt;200000,"PEAK SALES",N399&gt;100000,"GOOD SALES",N399&gt;50000,"AVERAGE SALES",N399&lt;50000,"PROFIT",N399&lt;10000,"LOSS")</f>
        <v>PROFIT</v>
      </c>
      <c r="V399" s="2">
        <f t="shared" si="6"/>
        <v>4</v>
      </c>
    </row>
    <row r="400" spans="1:22" x14ac:dyDescent="0.25">
      <c r="A400" s="2">
        <v>2399</v>
      </c>
      <c r="B400" s="2" t="s">
        <v>112</v>
      </c>
      <c r="C400" s="2" t="s">
        <v>68</v>
      </c>
      <c r="D400" s="2" t="s">
        <v>22</v>
      </c>
      <c r="E400" s="2" t="s">
        <v>47</v>
      </c>
      <c r="F400" s="2" t="s">
        <v>48</v>
      </c>
      <c r="G400" s="2" t="s">
        <v>77</v>
      </c>
      <c r="H400" s="2" t="s">
        <v>26</v>
      </c>
      <c r="I400" s="2">
        <v>1</v>
      </c>
      <c r="J400" s="2">
        <v>38702</v>
      </c>
      <c r="K400" s="2">
        <v>4701.09</v>
      </c>
      <c r="L400" s="2">
        <v>3870.2</v>
      </c>
      <c r="M400" s="2">
        <v>419</v>
      </c>
      <c r="N400" s="2">
        <v>38290.11</v>
      </c>
      <c r="O400" s="2" t="s">
        <v>27</v>
      </c>
      <c r="P400" s="2">
        <v>6901</v>
      </c>
      <c r="Q400" s="2" t="s">
        <v>28</v>
      </c>
      <c r="R400" s="2" t="s">
        <v>37</v>
      </c>
      <c r="S400" s="2">
        <v>8</v>
      </c>
      <c r="T400" s="2">
        <v>2</v>
      </c>
      <c r="U400" s="2" t="str" cm="1">
        <f t="array" ref="U400">_xlfn.IFS(N400&gt;200000,"PEAK SALES",N400&gt;100000,"GOOD SALES",N400&gt;50000,"AVERAGE SALES",N400&lt;50000,"PROFIT",N400&lt;10000,"LOSS")</f>
        <v>PROFIT</v>
      </c>
      <c r="V400" s="2">
        <f t="shared" si="6"/>
        <v>1</v>
      </c>
    </row>
    <row r="401" spans="1:22" x14ac:dyDescent="0.25">
      <c r="A401" s="2">
        <v>2400</v>
      </c>
      <c r="B401" s="2" t="s">
        <v>134</v>
      </c>
      <c r="C401" s="2" t="s">
        <v>39</v>
      </c>
      <c r="D401" s="2" t="s">
        <v>32</v>
      </c>
      <c r="E401" s="2" t="s">
        <v>23</v>
      </c>
      <c r="F401" s="2" t="s">
        <v>24</v>
      </c>
      <c r="G401" s="2" t="s">
        <v>94</v>
      </c>
      <c r="H401" s="2" t="s">
        <v>36</v>
      </c>
      <c r="I401" s="2">
        <v>4</v>
      </c>
      <c r="J401" s="2">
        <v>29781</v>
      </c>
      <c r="K401" s="2">
        <v>21982.02</v>
      </c>
      <c r="L401" s="2">
        <v>11912.4</v>
      </c>
      <c r="M401" s="2">
        <v>388</v>
      </c>
      <c r="N401" s="2">
        <v>109442.38</v>
      </c>
      <c r="O401" s="2" t="s">
        <v>43</v>
      </c>
      <c r="P401" s="2">
        <v>11728</v>
      </c>
      <c r="Q401" s="2" t="s">
        <v>63</v>
      </c>
      <c r="R401" s="2" t="s">
        <v>44</v>
      </c>
      <c r="S401" s="2">
        <v>10</v>
      </c>
      <c r="T401" s="2">
        <v>2</v>
      </c>
      <c r="U401" s="2" t="str" cm="1">
        <f t="array" ref="U401">_xlfn.IFS(N401&gt;200000,"PEAK SALES",N401&gt;100000,"GOOD SALES",N401&gt;50000,"AVERAGE SALES",N401&lt;50000,"PROFIT",N401&lt;10000,"LOSS")</f>
        <v>GOOD SALES</v>
      </c>
      <c r="V401" s="2">
        <f t="shared" si="6"/>
        <v>1</v>
      </c>
    </row>
    <row r="402" spans="1:22" x14ac:dyDescent="0.25">
      <c r="A402" s="2">
        <v>2401</v>
      </c>
      <c r="B402" s="2" t="s">
        <v>93</v>
      </c>
      <c r="C402" s="2" t="s">
        <v>39</v>
      </c>
      <c r="D402" s="2" t="s">
        <v>59</v>
      </c>
      <c r="E402" s="2" t="s">
        <v>23</v>
      </c>
      <c r="F402" s="2" t="s">
        <v>48</v>
      </c>
      <c r="G402" s="2" t="s">
        <v>77</v>
      </c>
      <c r="H402" s="2" t="s">
        <v>42</v>
      </c>
      <c r="I402" s="2">
        <v>4</v>
      </c>
      <c r="J402" s="2">
        <v>36399</v>
      </c>
      <c r="K402" s="2">
        <v>26756.720000000001</v>
      </c>
      <c r="L402" s="2">
        <v>14559.6</v>
      </c>
      <c r="M402" s="2">
        <v>176</v>
      </c>
      <c r="N402" s="2">
        <v>133574.88</v>
      </c>
      <c r="O402" s="2" t="s">
        <v>27</v>
      </c>
      <c r="P402" s="2">
        <v>18725</v>
      </c>
      <c r="Q402" s="2" t="s">
        <v>63</v>
      </c>
      <c r="R402" s="2" t="s">
        <v>44</v>
      </c>
      <c r="S402" s="2">
        <v>7</v>
      </c>
      <c r="T402" s="2">
        <v>5</v>
      </c>
      <c r="U402" s="2" t="str" cm="1">
        <f t="array" ref="U402">_xlfn.IFS(N402&gt;200000,"PEAK SALES",N402&gt;100000,"GOOD SALES",N402&gt;50000,"AVERAGE SALES",N402&lt;50000,"PROFIT",N402&lt;10000,"LOSS")</f>
        <v>GOOD SALES</v>
      </c>
      <c r="V402" s="2">
        <f t="shared" si="6"/>
        <v>4</v>
      </c>
    </row>
    <row r="403" spans="1:22" x14ac:dyDescent="0.25">
      <c r="A403" s="2">
        <v>2402</v>
      </c>
      <c r="B403" s="2" t="s">
        <v>181</v>
      </c>
      <c r="C403" s="2" t="s">
        <v>39</v>
      </c>
      <c r="D403" s="2" t="s">
        <v>32</v>
      </c>
      <c r="E403" s="2" t="s">
        <v>56</v>
      </c>
      <c r="F403" s="2" t="s">
        <v>48</v>
      </c>
      <c r="G403" s="2" t="s">
        <v>77</v>
      </c>
      <c r="H403" s="2" t="s">
        <v>42</v>
      </c>
      <c r="I403" s="2">
        <v>1</v>
      </c>
      <c r="J403" s="2">
        <v>53633</v>
      </c>
      <c r="K403" s="2">
        <v>3625.93</v>
      </c>
      <c r="L403" s="2">
        <v>5363.3</v>
      </c>
      <c r="M403" s="2">
        <v>363</v>
      </c>
      <c r="N403" s="2">
        <v>55733.37</v>
      </c>
      <c r="O403" s="2" t="s">
        <v>27</v>
      </c>
      <c r="P403" s="2">
        <v>15910</v>
      </c>
      <c r="Q403" s="2" t="s">
        <v>28</v>
      </c>
      <c r="R403" s="2" t="s">
        <v>37</v>
      </c>
      <c r="S403" s="2">
        <v>4</v>
      </c>
      <c r="T403" s="2">
        <v>3</v>
      </c>
      <c r="U403" s="2" t="str" cm="1">
        <f t="array" ref="U403">_xlfn.IFS(N403&gt;200000,"PEAK SALES",N403&gt;100000,"GOOD SALES",N403&gt;50000,"AVERAGE SALES",N403&lt;50000,"PROFIT",N403&lt;10000,"LOSS")</f>
        <v>AVERAGE SALES</v>
      </c>
      <c r="V403" s="2">
        <f t="shared" si="6"/>
        <v>1</v>
      </c>
    </row>
    <row r="404" spans="1:22" x14ac:dyDescent="0.25">
      <c r="A404" s="2">
        <v>2403</v>
      </c>
      <c r="B404" s="2" t="s">
        <v>124</v>
      </c>
      <c r="C404" s="2" t="s">
        <v>46</v>
      </c>
      <c r="D404" s="2" t="s">
        <v>73</v>
      </c>
      <c r="E404" s="2" t="s">
        <v>103</v>
      </c>
      <c r="F404" s="2" t="s">
        <v>34</v>
      </c>
      <c r="G404" s="2" t="s">
        <v>60</v>
      </c>
      <c r="H404" s="2" t="s">
        <v>42</v>
      </c>
      <c r="I404" s="2">
        <v>1</v>
      </c>
      <c r="J404" s="2">
        <v>26840</v>
      </c>
      <c r="K404" s="2">
        <v>4198.8100000000004</v>
      </c>
      <c r="L404" s="2">
        <v>2684</v>
      </c>
      <c r="M404" s="2">
        <v>458</v>
      </c>
      <c r="N404" s="2">
        <v>25783.19</v>
      </c>
      <c r="O404" s="2" t="s">
        <v>50</v>
      </c>
      <c r="P404" s="2">
        <v>3226</v>
      </c>
      <c r="Q404" s="2" t="s">
        <v>28</v>
      </c>
      <c r="R404" s="2" t="s">
        <v>37</v>
      </c>
      <c r="S404" s="2">
        <v>6</v>
      </c>
      <c r="T404" s="2">
        <v>5</v>
      </c>
      <c r="U404" s="2" t="str" cm="1">
        <f t="array" ref="U404">_xlfn.IFS(N404&gt;200000,"PEAK SALES",N404&gt;100000,"GOOD SALES",N404&gt;50000,"AVERAGE SALES",N404&lt;50000,"PROFIT",N404&lt;10000,"LOSS")</f>
        <v>PROFIT</v>
      </c>
      <c r="V404" s="2">
        <f t="shared" si="6"/>
        <v>4</v>
      </c>
    </row>
    <row r="405" spans="1:22" x14ac:dyDescent="0.25">
      <c r="A405" s="2">
        <v>2404</v>
      </c>
      <c r="B405" s="2" t="s">
        <v>150</v>
      </c>
      <c r="C405" s="2" t="s">
        <v>87</v>
      </c>
      <c r="D405" s="2" t="s">
        <v>59</v>
      </c>
      <c r="E405" s="2" t="s">
        <v>40</v>
      </c>
      <c r="F405" s="2" t="s">
        <v>48</v>
      </c>
      <c r="G405" s="2" t="s">
        <v>66</v>
      </c>
      <c r="H405" s="2" t="s">
        <v>36</v>
      </c>
      <c r="I405" s="2">
        <v>4</v>
      </c>
      <c r="J405" s="2">
        <v>44363</v>
      </c>
      <c r="K405" s="2">
        <v>15287.54</v>
      </c>
      <c r="L405" s="2">
        <v>17745.2</v>
      </c>
      <c r="M405" s="2">
        <v>479</v>
      </c>
      <c r="N405" s="2">
        <v>180388.66</v>
      </c>
      <c r="O405" s="2" t="s">
        <v>43</v>
      </c>
      <c r="P405" s="2">
        <v>43977</v>
      </c>
      <c r="Q405" s="2" t="s">
        <v>63</v>
      </c>
      <c r="R405" s="2" t="s">
        <v>29</v>
      </c>
      <c r="S405" s="2">
        <v>7</v>
      </c>
      <c r="T405" s="2">
        <v>2</v>
      </c>
      <c r="U405" s="2" t="str" cm="1">
        <f t="array" ref="U405">_xlfn.IFS(N405&gt;200000,"PEAK SALES",N405&gt;100000,"GOOD SALES",N405&gt;50000,"AVERAGE SALES",N405&lt;50000,"PROFIT",N405&lt;10000,"LOSS")</f>
        <v>GOOD SALES</v>
      </c>
      <c r="V405" s="2">
        <f t="shared" si="6"/>
        <v>3</v>
      </c>
    </row>
    <row r="406" spans="1:22" x14ac:dyDescent="0.25">
      <c r="A406" s="2">
        <v>2405</v>
      </c>
      <c r="B406" s="2" t="s">
        <v>98</v>
      </c>
      <c r="C406" s="2" t="s">
        <v>39</v>
      </c>
      <c r="D406" s="2" t="s">
        <v>22</v>
      </c>
      <c r="E406" s="2" t="s">
        <v>23</v>
      </c>
      <c r="F406" s="2" t="s">
        <v>34</v>
      </c>
      <c r="G406" s="2" t="s">
        <v>41</v>
      </c>
      <c r="H406" s="2" t="s">
        <v>42</v>
      </c>
      <c r="I406" s="2">
        <v>2</v>
      </c>
      <c r="J406" s="2">
        <v>38917</v>
      </c>
      <c r="K406" s="2">
        <v>5942.29</v>
      </c>
      <c r="L406" s="2">
        <v>7783.4</v>
      </c>
      <c r="M406" s="2">
        <v>426</v>
      </c>
      <c r="N406" s="2">
        <v>80101.11</v>
      </c>
      <c r="O406" s="2" t="s">
        <v>43</v>
      </c>
      <c r="P406" s="2">
        <v>9226</v>
      </c>
      <c r="Q406" s="2" t="s">
        <v>63</v>
      </c>
      <c r="R406" s="2" t="s">
        <v>37</v>
      </c>
      <c r="S406" s="2">
        <v>3</v>
      </c>
      <c r="T406" s="2">
        <v>1</v>
      </c>
      <c r="U406" s="2" t="str" cm="1">
        <f t="array" ref="U406">_xlfn.IFS(N406&gt;200000,"PEAK SALES",N406&gt;100000,"GOOD SALES",N406&gt;50000,"AVERAGE SALES",N406&lt;50000,"PROFIT",N406&lt;10000,"LOSS")</f>
        <v>AVERAGE SALES</v>
      </c>
      <c r="V406" s="2">
        <f t="shared" si="6"/>
        <v>3</v>
      </c>
    </row>
    <row r="407" spans="1:22" x14ac:dyDescent="0.25">
      <c r="A407" s="2">
        <v>2406</v>
      </c>
      <c r="B407" s="2" t="s">
        <v>83</v>
      </c>
      <c r="C407" s="2" t="s">
        <v>65</v>
      </c>
      <c r="D407" s="2" t="s">
        <v>73</v>
      </c>
      <c r="E407" s="2" t="s">
        <v>40</v>
      </c>
      <c r="F407" s="2" t="s">
        <v>34</v>
      </c>
      <c r="G407" s="2" t="s">
        <v>80</v>
      </c>
      <c r="H407" s="2" t="s">
        <v>61</v>
      </c>
      <c r="I407" s="2">
        <v>2</v>
      </c>
      <c r="J407" s="2">
        <v>35981</v>
      </c>
      <c r="K407" s="2">
        <v>7064.25</v>
      </c>
      <c r="L407" s="2">
        <v>7196.2</v>
      </c>
      <c r="M407" s="2">
        <v>301</v>
      </c>
      <c r="N407" s="2">
        <v>72394.95</v>
      </c>
      <c r="O407" s="2" t="s">
        <v>27</v>
      </c>
      <c r="P407" s="2">
        <v>13457</v>
      </c>
      <c r="Q407" s="2" t="s">
        <v>28</v>
      </c>
      <c r="R407" s="2" t="s">
        <v>29</v>
      </c>
      <c r="S407" s="2">
        <v>2</v>
      </c>
      <c r="T407" s="2">
        <v>5</v>
      </c>
      <c r="U407" s="2" t="str" cm="1">
        <f t="array" ref="U407">_xlfn.IFS(N407&gt;200000,"PEAK SALES",N407&gt;100000,"GOOD SALES",N407&gt;50000,"AVERAGE SALES",N407&lt;50000,"PROFIT",N407&lt;10000,"LOSS")</f>
        <v>AVERAGE SALES</v>
      </c>
      <c r="V407" s="2">
        <f t="shared" si="6"/>
        <v>1</v>
      </c>
    </row>
    <row r="408" spans="1:22" x14ac:dyDescent="0.25">
      <c r="A408" s="2">
        <v>2407</v>
      </c>
      <c r="B408" s="2" t="s">
        <v>132</v>
      </c>
      <c r="C408" s="2" t="s">
        <v>58</v>
      </c>
      <c r="D408" s="2" t="s">
        <v>73</v>
      </c>
      <c r="E408" s="2" t="s">
        <v>47</v>
      </c>
      <c r="F408" s="2" t="s">
        <v>24</v>
      </c>
      <c r="G408" s="2" t="s">
        <v>25</v>
      </c>
      <c r="H408" s="2" t="s">
        <v>61</v>
      </c>
      <c r="I408" s="2">
        <v>2</v>
      </c>
      <c r="J408" s="2">
        <v>3172</v>
      </c>
      <c r="K408" s="2">
        <v>830.19</v>
      </c>
      <c r="L408" s="2">
        <v>634.4</v>
      </c>
      <c r="M408" s="2">
        <v>174</v>
      </c>
      <c r="N408" s="2">
        <v>6322.2099999999991</v>
      </c>
      <c r="O408" s="2" t="s">
        <v>50</v>
      </c>
      <c r="P408" s="2">
        <v>1696</v>
      </c>
      <c r="Q408" s="2" t="s">
        <v>52</v>
      </c>
      <c r="R408" s="2" t="s">
        <v>37</v>
      </c>
      <c r="S408" s="2">
        <v>4</v>
      </c>
      <c r="T408" s="2">
        <v>5</v>
      </c>
      <c r="U408" s="2" t="str" cm="1">
        <f t="array" ref="U408">_xlfn.IFS(N408&gt;200000,"PEAK SALES",N408&gt;100000,"GOOD SALES",N408&gt;50000,"AVERAGE SALES",N408&lt;50000,"PROFIT",N408&lt;10000,"LOSS")</f>
        <v>PROFIT</v>
      </c>
      <c r="V408" s="2">
        <f t="shared" si="6"/>
        <v>1</v>
      </c>
    </row>
    <row r="409" spans="1:22" x14ac:dyDescent="0.25">
      <c r="A409" s="2">
        <v>2408</v>
      </c>
      <c r="B409" s="2" t="s">
        <v>51</v>
      </c>
      <c r="C409" s="2" t="s">
        <v>39</v>
      </c>
      <c r="D409" s="2" t="s">
        <v>32</v>
      </c>
      <c r="E409" s="2" t="s">
        <v>54</v>
      </c>
      <c r="F409" s="2" t="s">
        <v>48</v>
      </c>
      <c r="G409" s="2" t="s">
        <v>49</v>
      </c>
      <c r="H409" s="2" t="s">
        <v>36</v>
      </c>
      <c r="I409" s="2">
        <v>5</v>
      </c>
      <c r="J409" s="2">
        <v>28666</v>
      </c>
      <c r="K409" s="2">
        <v>16150.81</v>
      </c>
      <c r="L409" s="2">
        <v>14333</v>
      </c>
      <c r="M409" s="2">
        <v>302</v>
      </c>
      <c r="N409" s="2">
        <v>141814.19</v>
      </c>
      <c r="O409" s="2" t="s">
        <v>43</v>
      </c>
      <c r="P409" s="2">
        <v>15032</v>
      </c>
      <c r="Q409" s="2" t="s">
        <v>52</v>
      </c>
      <c r="R409" s="2" t="s">
        <v>44</v>
      </c>
      <c r="S409" s="2">
        <v>5</v>
      </c>
      <c r="T409" s="2">
        <v>5</v>
      </c>
      <c r="U409" s="2" t="str" cm="1">
        <f t="array" ref="U409">_xlfn.IFS(N409&gt;200000,"PEAK SALES",N409&gt;100000,"GOOD SALES",N409&gt;50000,"AVERAGE SALES",N409&lt;50000,"PROFIT",N409&lt;10000,"LOSS")</f>
        <v>GOOD SALES</v>
      </c>
      <c r="V409" s="2">
        <f t="shared" si="6"/>
        <v>3</v>
      </c>
    </row>
    <row r="410" spans="1:22" x14ac:dyDescent="0.25">
      <c r="A410" s="2">
        <v>2409</v>
      </c>
      <c r="B410" s="2" t="s">
        <v>45</v>
      </c>
      <c r="C410" s="2" t="s">
        <v>68</v>
      </c>
      <c r="D410" s="2" t="s">
        <v>32</v>
      </c>
      <c r="E410" s="2" t="s">
        <v>23</v>
      </c>
      <c r="F410" s="2" t="s">
        <v>34</v>
      </c>
      <c r="G410" s="2" t="s">
        <v>60</v>
      </c>
      <c r="H410" s="2" t="s">
        <v>61</v>
      </c>
      <c r="I410" s="2">
        <v>5</v>
      </c>
      <c r="J410" s="2">
        <v>59091</v>
      </c>
      <c r="K410" s="2">
        <v>47805.99</v>
      </c>
      <c r="L410" s="2">
        <v>29545.5</v>
      </c>
      <c r="M410" s="2">
        <v>71</v>
      </c>
      <c r="N410" s="2">
        <v>277265.51</v>
      </c>
      <c r="O410" s="2" t="s">
        <v>62</v>
      </c>
      <c r="P410" s="2">
        <v>48224</v>
      </c>
      <c r="Q410" s="2" t="s">
        <v>28</v>
      </c>
      <c r="R410" s="2" t="s">
        <v>44</v>
      </c>
      <c r="S410" s="2">
        <v>1</v>
      </c>
      <c r="T410" s="2">
        <v>5</v>
      </c>
      <c r="U410" s="2" t="str" cm="1">
        <f t="array" ref="U410">_xlfn.IFS(N410&gt;200000,"PEAK SALES",N410&gt;100000,"GOOD SALES",N410&gt;50000,"AVERAGE SALES",N410&lt;50000,"PROFIT",N410&lt;10000,"LOSS")</f>
        <v>PEAK SALES</v>
      </c>
      <c r="V410" s="2">
        <f t="shared" si="6"/>
        <v>2</v>
      </c>
    </row>
    <row r="411" spans="1:22" x14ac:dyDescent="0.25">
      <c r="A411" s="2">
        <v>2410</v>
      </c>
      <c r="B411" s="2" t="s">
        <v>178</v>
      </c>
      <c r="C411" s="2" t="s">
        <v>68</v>
      </c>
      <c r="D411" s="2" t="s">
        <v>73</v>
      </c>
      <c r="E411" s="2" t="s">
        <v>33</v>
      </c>
      <c r="F411" s="2" t="s">
        <v>48</v>
      </c>
      <c r="G411" s="2" t="s">
        <v>77</v>
      </c>
      <c r="H411" s="2" t="s">
        <v>61</v>
      </c>
      <c r="I411" s="2">
        <v>4</v>
      </c>
      <c r="J411" s="2">
        <v>3081</v>
      </c>
      <c r="K411" s="2">
        <v>760.04</v>
      </c>
      <c r="L411" s="2">
        <v>1232.4000000000001</v>
      </c>
      <c r="M411" s="2">
        <v>481</v>
      </c>
      <c r="N411" s="2">
        <v>13277.36</v>
      </c>
      <c r="O411" s="2" t="s">
        <v>27</v>
      </c>
      <c r="P411" s="2">
        <v>1948</v>
      </c>
      <c r="Q411" s="2" t="s">
        <v>52</v>
      </c>
      <c r="R411" s="2" t="s">
        <v>37</v>
      </c>
      <c r="S411" s="2">
        <v>7</v>
      </c>
      <c r="T411" s="2">
        <v>2</v>
      </c>
      <c r="U411" s="2" t="str" cm="1">
        <f t="array" ref="U411">_xlfn.IFS(N411&gt;200000,"PEAK SALES",N411&gt;100000,"GOOD SALES",N411&gt;50000,"AVERAGE SALES",N411&lt;50000,"PROFIT",N411&lt;10000,"LOSS")</f>
        <v>PROFIT</v>
      </c>
      <c r="V411" s="2">
        <f t="shared" si="6"/>
        <v>3</v>
      </c>
    </row>
    <row r="412" spans="1:22" x14ac:dyDescent="0.25">
      <c r="A412" s="2">
        <v>2411</v>
      </c>
      <c r="B412" s="2" t="s">
        <v>121</v>
      </c>
      <c r="C412" s="2" t="s">
        <v>72</v>
      </c>
      <c r="D412" s="2" t="s">
        <v>73</v>
      </c>
      <c r="E412" s="2" t="s">
        <v>47</v>
      </c>
      <c r="F412" s="2" t="s">
        <v>48</v>
      </c>
      <c r="G412" s="2" t="s">
        <v>66</v>
      </c>
      <c r="H412" s="2" t="s">
        <v>61</v>
      </c>
      <c r="I412" s="2">
        <v>1</v>
      </c>
      <c r="J412" s="2">
        <v>51738</v>
      </c>
      <c r="K412" s="2">
        <v>9751.07</v>
      </c>
      <c r="L412" s="2">
        <v>5173.8</v>
      </c>
      <c r="M412" s="2">
        <v>286</v>
      </c>
      <c r="N412" s="2">
        <v>47446.73</v>
      </c>
      <c r="O412" s="2" t="s">
        <v>27</v>
      </c>
      <c r="P412" s="2">
        <v>5760</v>
      </c>
      <c r="Q412" s="2" t="s">
        <v>52</v>
      </c>
      <c r="R412" s="2" t="s">
        <v>37</v>
      </c>
      <c r="S412" s="2">
        <v>8</v>
      </c>
      <c r="T412" s="2">
        <v>3</v>
      </c>
      <c r="U412" s="2" t="str" cm="1">
        <f t="array" ref="U412">_xlfn.IFS(N412&gt;200000,"PEAK SALES",N412&gt;100000,"GOOD SALES",N412&gt;50000,"AVERAGE SALES",N412&lt;50000,"PROFIT",N412&lt;10000,"LOSS")</f>
        <v>PROFIT</v>
      </c>
      <c r="V412" s="2">
        <f t="shared" si="6"/>
        <v>3</v>
      </c>
    </row>
    <row r="413" spans="1:22" x14ac:dyDescent="0.25">
      <c r="A413" s="2">
        <v>2412</v>
      </c>
      <c r="B413" s="2" t="s">
        <v>160</v>
      </c>
      <c r="C413" s="2" t="s">
        <v>46</v>
      </c>
      <c r="D413" s="2" t="s">
        <v>73</v>
      </c>
      <c r="E413" s="2" t="s">
        <v>56</v>
      </c>
      <c r="F413" s="2" t="s">
        <v>48</v>
      </c>
      <c r="G413" s="2" t="s">
        <v>66</v>
      </c>
      <c r="H413" s="2" t="s">
        <v>26</v>
      </c>
      <c r="I413" s="2">
        <v>1</v>
      </c>
      <c r="J413" s="2">
        <v>6093</v>
      </c>
      <c r="K413" s="2">
        <v>886.41</v>
      </c>
      <c r="L413" s="2">
        <v>609.29999999999995</v>
      </c>
      <c r="M413" s="2">
        <v>173</v>
      </c>
      <c r="N413" s="2">
        <v>5988.89</v>
      </c>
      <c r="O413" s="2" t="s">
        <v>62</v>
      </c>
      <c r="P413" s="2">
        <v>739</v>
      </c>
      <c r="Q413" s="2" t="s">
        <v>28</v>
      </c>
      <c r="R413" s="2" t="s">
        <v>37</v>
      </c>
      <c r="S413" s="2">
        <v>3</v>
      </c>
      <c r="T413" s="2">
        <v>3</v>
      </c>
      <c r="U413" s="2" t="str" cm="1">
        <f t="array" ref="U413">_xlfn.IFS(N413&gt;200000,"PEAK SALES",N413&gt;100000,"GOOD SALES",N413&gt;50000,"AVERAGE SALES",N413&lt;50000,"PROFIT",N413&lt;10000,"LOSS")</f>
        <v>PROFIT</v>
      </c>
      <c r="V413" s="2">
        <f t="shared" si="6"/>
        <v>2</v>
      </c>
    </row>
    <row r="414" spans="1:22" x14ac:dyDescent="0.25">
      <c r="A414" s="2">
        <v>2413</v>
      </c>
      <c r="B414" s="2" t="s">
        <v>178</v>
      </c>
      <c r="C414" s="2" t="s">
        <v>39</v>
      </c>
      <c r="D414" s="2" t="s">
        <v>59</v>
      </c>
      <c r="E414" s="2" t="s">
        <v>56</v>
      </c>
      <c r="F414" s="2" t="s">
        <v>24</v>
      </c>
      <c r="G414" s="2" t="s">
        <v>25</v>
      </c>
      <c r="H414" s="2" t="s">
        <v>42</v>
      </c>
      <c r="I414" s="2">
        <v>3</v>
      </c>
      <c r="J414" s="2">
        <v>50350</v>
      </c>
      <c r="K414" s="2">
        <v>9439.6299999999992</v>
      </c>
      <c r="L414" s="2">
        <v>15105</v>
      </c>
      <c r="M414" s="2">
        <v>267</v>
      </c>
      <c r="N414" s="2">
        <v>156982.37</v>
      </c>
      <c r="O414" s="2" t="s">
        <v>43</v>
      </c>
      <c r="P414" s="2">
        <v>27185</v>
      </c>
      <c r="Q414" s="2" t="s">
        <v>28</v>
      </c>
      <c r="R414" s="2" t="s">
        <v>37</v>
      </c>
      <c r="S414" s="2">
        <v>9</v>
      </c>
      <c r="T414" s="2">
        <v>4</v>
      </c>
      <c r="U414" s="2" t="str" cm="1">
        <f t="array" ref="U414">_xlfn.IFS(N414&gt;200000,"PEAK SALES",N414&gt;100000,"GOOD SALES",N414&gt;50000,"AVERAGE SALES",N414&lt;50000,"PROFIT",N414&lt;10000,"LOSS")</f>
        <v>GOOD SALES</v>
      </c>
      <c r="V414" s="2">
        <f t="shared" si="6"/>
        <v>3</v>
      </c>
    </row>
    <row r="415" spans="1:22" x14ac:dyDescent="0.25">
      <c r="A415" s="2">
        <v>2414</v>
      </c>
      <c r="B415" s="2" t="s">
        <v>149</v>
      </c>
      <c r="C415" s="2" t="s">
        <v>31</v>
      </c>
      <c r="D415" s="2" t="s">
        <v>59</v>
      </c>
      <c r="E415" s="2" t="s">
        <v>103</v>
      </c>
      <c r="F415" s="2" t="s">
        <v>48</v>
      </c>
      <c r="G415" s="2" t="s">
        <v>49</v>
      </c>
      <c r="H415" s="2" t="s">
        <v>61</v>
      </c>
      <c r="I415" s="2">
        <v>2</v>
      </c>
      <c r="J415" s="2">
        <v>39906</v>
      </c>
      <c r="K415" s="2">
        <v>15186.68</v>
      </c>
      <c r="L415" s="2">
        <v>7981.2</v>
      </c>
      <c r="M415" s="2">
        <v>163</v>
      </c>
      <c r="N415" s="2">
        <v>72769.52</v>
      </c>
      <c r="O415" s="2" t="s">
        <v>62</v>
      </c>
      <c r="P415" s="2">
        <v>13816</v>
      </c>
      <c r="Q415" s="2" t="s">
        <v>63</v>
      </c>
      <c r="R415" s="2" t="s">
        <v>29</v>
      </c>
      <c r="S415" s="2">
        <v>4</v>
      </c>
      <c r="T415" s="2">
        <v>3</v>
      </c>
      <c r="U415" s="2" t="str" cm="1">
        <f t="array" ref="U415">_xlfn.IFS(N415&gt;200000,"PEAK SALES",N415&gt;100000,"GOOD SALES",N415&gt;50000,"AVERAGE SALES",N415&lt;50000,"PROFIT",N415&lt;10000,"LOSS")</f>
        <v>AVERAGE SALES</v>
      </c>
      <c r="V415" s="2">
        <f t="shared" si="6"/>
        <v>2</v>
      </c>
    </row>
    <row r="416" spans="1:22" x14ac:dyDescent="0.25">
      <c r="A416" s="2">
        <v>2415</v>
      </c>
      <c r="B416" s="2" t="s">
        <v>175</v>
      </c>
      <c r="C416" s="2" t="s">
        <v>31</v>
      </c>
      <c r="D416" s="2" t="s">
        <v>32</v>
      </c>
      <c r="E416" s="2" t="s">
        <v>47</v>
      </c>
      <c r="F416" s="2" t="s">
        <v>24</v>
      </c>
      <c r="G416" s="2" t="s">
        <v>94</v>
      </c>
      <c r="H416" s="2" t="s">
        <v>26</v>
      </c>
      <c r="I416" s="2">
        <v>2</v>
      </c>
      <c r="J416" s="2">
        <v>42072</v>
      </c>
      <c r="K416" s="2">
        <v>12021.42</v>
      </c>
      <c r="L416" s="2">
        <v>8414.4</v>
      </c>
      <c r="M416" s="2">
        <v>460</v>
      </c>
      <c r="N416" s="2">
        <v>80996.98</v>
      </c>
      <c r="O416" s="2" t="s">
        <v>50</v>
      </c>
      <c r="P416" s="2">
        <v>12282</v>
      </c>
      <c r="Q416" s="2" t="s">
        <v>63</v>
      </c>
      <c r="R416" s="2" t="s">
        <v>37</v>
      </c>
      <c r="S416" s="2">
        <v>10</v>
      </c>
      <c r="T416" s="2">
        <v>2</v>
      </c>
      <c r="U416" s="2" t="str" cm="1">
        <f t="array" ref="U416">_xlfn.IFS(N416&gt;200000,"PEAK SALES",N416&gt;100000,"GOOD SALES",N416&gt;50000,"AVERAGE SALES",N416&lt;50000,"PROFIT",N416&lt;10000,"LOSS")</f>
        <v>AVERAGE SALES</v>
      </c>
      <c r="V416" s="2">
        <f t="shared" si="6"/>
        <v>2</v>
      </c>
    </row>
    <row r="417" spans="1:22" x14ac:dyDescent="0.25">
      <c r="A417" s="2">
        <v>2416</v>
      </c>
      <c r="B417" s="2" t="s">
        <v>45</v>
      </c>
      <c r="C417" s="2" t="s">
        <v>39</v>
      </c>
      <c r="D417" s="2" t="s">
        <v>59</v>
      </c>
      <c r="E417" s="2" t="s">
        <v>47</v>
      </c>
      <c r="F417" s="2" t="s">
        <v>24</v>
      </c>
      <c r="G417" s="2" t="s">
        <v>25</v>
      </c>
      <c r="H417" s="2" t="s">
        <v>36</v>
      </c>
      <c r="I417" s="2">
        <v>4</v>
      </c>
      <c r="J417" s="2">
        <v>21262</v>
      </c>
      <c r="K417" s="2">
        <v>15235.87</v>
      </c>
      <c r="L417" s="2">
        <v>8504.7999999999993</v>
      </c>
      <c r="M417" s="2">
        <v>350</v>
      </c>
      <c r="N417" s="2">
        <v>78666.930000000008</v>
      </c>
      <c r="O417" s="2" t="s">
        <v>50</v>
      </c>
      <c r="P417" s="2">
        <v>22784</v>
      </c>
      <c r="Q417" s="2" t="s">
        <v>28</v>
      </c>
      <c r="R417" s="2" t="s">
        <v>44</v>
      </c>
      <c r="S417" s="2">
        <v>6</v>
      </c>
      <c r="T417" s="2">
        <v>3</v>
      </c>
      <c r="U417" s="2" t="str" cm="1">
        <f t="array" ref="U417">_xlfn.IFS(N417&gt;200000,"PEAK SALES",N417&gt;100000,"GOOD SALES",N417&gt;50000,"AVERAGE SALES",N417&lt;50000,"PROFIT",N417&lt;10000,"LOSS")</f>
        <v>AVERAGE SALES</v>
      </c>
      <c r="V417" s="2">
        <f t="shared" si="6"/>
        <v>2</v>
      </c>
    </row>
    <row r="418" spans="1:22" x14ac:dyDescent="0.25">
      <c r="A418" s="2">
        <v>2417</v>
      </c>
      <c r="B418" s="2" t="s">
        <v>112</v>
      </c>
      <c r="C418" s="2" t="s">
        <v>65</v>
      </c>
      <c r="D418" s="2" t="s">
        <v>22</v>
      </c>
      <c r="E418" s="2" t="s">
        <v>47</v>
      </c>
      <c r="F418" s="2" t="s">
        <v>34</v>
      </c>
      <c r="G418" s="2" t="s">
        <v>35</v>
      </c>
      <c r="H418" s="2" t="s">
        <v>26</v>
      </c>
      <c r="I418" s="2">
        <v>5</v>
      </c>
      <c r="J418" s="2">
        <v>20063</v>
      </c>
      <c r="K418" s="2">
        <v>8424.09</v>
      </c>
      <c r="L418" s="2">
        <v>10031.5</v>
      </c>
      <c r="M418" s="2">
        <v>172</v>
      </c>
      <c r="N418" s="2">
        <v>102094.41</v>
      </c>
      <c r="O418" s="2" t="s">
        <v>62</v>
      </c>
      <c r="P418" s="2">
        <v>28196</v>
      </c>
      <c r="Q418" s="2" t="s">
        <v>52</v>
      </c>
      <c r="R418" s="2" t="s">
        <v>37</v>
      </c>
      <c r="S418" s="2">
        <v>3</v>
      </c>
      <c r="T418" s="2">
        <v>5</v>
      </c>
      <c r="U418" s="2" t="str" cm="1">
        <f t="array" ref="U418">_xlfn.IFS(N418&gt;200000,"PEAK SALES",N418&gt;100000,"GOOD SALES",N418&gt;50000,"AVERAGE SALES",N418&lt;50000,"PROFIT",N418&lt;10000,"LOSS")</f>
        <v>GOOD SALES</v>
      </c>
      <c r="V418" s="2">
        <f t="shared" si="6"/>
        <v>1</v>
      </c>
    </row>
    <row r="419" spans="1:22" x14ac:dyDescent="0.25">
      <c r="A419" s="2">
        <v>2418</v>
      </c>
      <c r="B419" s="2" t="s">
        <v>157</v>
      </c>
      <c r="C419" s="2" t="s">
        <v>58</v>
      </c>
      <c r="D419" s="2" t="s">
        <v>32</v>
      </c>
      <c r="E419" s="2" t="s">
        <v>54</v>
      </c>
      <c r="F419" s="2" t="s">
        <v>48</v>
      </c>
      <c r="G419" s="2" t="s">
        <v>77</v>
      </c>
      <c r="H419" s="2" t="s">
        <v>61</v>
      </c>
      <c r="I419" s="2">
        <v>5</v>
      </c>
      <c r="J419" s="2">
        <v>55602</v>
      </c>
      <c r="K419" s="2">
        <v>46124.05</v>
      </c>
      <c r="L419" s="2">
        <v>27801</v>
      </c>
      <c r="M419" s="2">
        <v>293</v>
      </c>
      <c r="N419" s="2">
        <v>259979.95</v>
      </c>
      <c r="O419" s="2" t="s">
        <v>62</v>
      </c>
      <c r="P419" s="2">
        <v>68347</v>
      </c>
      <c r="Q419" s="2" t="s">
        <v>52</v>
      </c>
      <c r="R419" s="2" t="s">
        <v>44</v>
      </c>
      <c r="S419" s="2">
        <v>7</v>
      </c>
      <c r="T419" s="2">
        <v>2</v>
      </c>
      <c r="U419" s="2" t="str" cm="1">
        <f t="array" ref="U419">_xlfn.IFS(N419&gt;200000,"PEAK SALES",N419&gt;100000,"GOOD SALES",N419&gt;50000,"AVERAGE SALES",N419&lt;50000,"PROFIT",N419&lt;10000,"LOSS")</f>
        <v>PEAK SALES</v>
      </c>
      <c r="V419" s="2">
        <f t="shared" si="6"/>
        <v>3</v>
      </c>
    </row>
    <row r="420" spans="1:22" x14ac:dyDescent="0.25">
      <c r="A420" s="2">
        <v>2419</v>
      </c>
      <c r="B420" s="2" t="s">
        <v>181</v>
      </c>
      <c r="C420" s="2" t="s">
        <v>68</v>
      </c>
      <c r="D420" s="2" t="s">
        <v>32</v>
      </c>
      <c r="E420" s="2" t="s">
        <v>47</v>
      </c>
      <c r="F420" s="2" t="s">
        <v>48</v>
      </c>
      <c r="G420" s="2" t="s">
        <v>49</v>
      </c>
      <c r="H420" s="2" t="s">
        <v>42</v>
      </c>
      <c r="I420" s="2">
        <v>3</v>
      </c>
      <c r="J420" s="2">
        <v>8726</v>
      </c>
      <c r="K420" s="2">
        <v>3926.55</v>
      </c>
      <c r="L420" s="2">
        <v>2617.8000000000002</v>
      </c>
      <c r="M420" s="2">
        <v>360</v>
      </c>
      <c r="N420" s="2">
        <v>25229.25</v>
      </c>
      <c r="O420" s="2" t="s">
        <v>43</v>
      </c>
      <c r="P420" s="2">
        <v>4869</v>
      </c>
      <c r="Q420" s="2" t="s">
        <v>63</v>
      </c>
      <c r="R420" s="2" t="s">
        <v>44</v>
      </c>
      <c r="S420" s="2">
        <v>4</v>
      </c>
      <c r="T420" s="2">
        <v>5</v>
      </c>
      <c r="U420" s="2" t="str" cm="1">
        <f t="array" ref="U420">_xlfn.IFS(N420&gt;200000,"PEAK SALES",N420&gt;100000,"GOOD SALES",N420&gt;50000,"AVERAGE SALES",N420&lt;50000,"PROFIT",N420&lt;10000,"LOSS")</f>
        <v>PROFIT</v>
      </c>
      <c r="V420" s="2">
        <f t="shared" si="6"/>
        <v>1</v>
      </c>
    </row>
    <row r="421" spans="1:22" x14ac:dyDescent="0.25">
      <c r="A421" s="2">
        <v>2420</v>
      </c>
      <c r="B421" s="2" t="s">
        <v>182</v>
      </c>
      <c r="C421" s="2" t="s">
        <v>68</v>
      </c>
      <c r="D421" s="2" t="s">
        <v>32</v>
      </c>
      <c r="E421" s="2" t="s">
        <v>40</v>
      </c>
      <c r="F421" s="2" t="s">
        <v>48</v>
      </c>
      <c r="G421" s="2" t="s">
        <v>49</v>
      </c>
      <c r="H421" s="2" t="s">
        <v>42</v>
      </c>
      <c r="I421" s="2">
        <v>1</v>
      </c>
      <c r="J421" s="2">
        <v>28298</v>
      </c>
      <c r="K421" s="2">
        <v>3291.71</v>
      </c>
      <c r="L421" s="2">
        <v>2829.8</v>
      </c>
      <c r="M421" s="2">
        <v>53</v>
      </c>
      <c r="N421" s="2">
        <v>27889.09</v>
      </c>
      <c r="O421" s="2" t="s">
        <v>62</v>
      </c>
      <c r="P421" s="2">
        <v>3934</v>
      </c>
      <c r="Q421" s="2" t="s">
        <v>63</v>
      </c>
      <c r="R421" s="2" t="s">
        <v>29</v>
      </c>
      <c r="S421" s="2">
        <v>5</v>
      </c>
      <c r="T421" s="2">
        <v>5</v>
      </c>
      <c r="U421" s="2" t="str" cm="1">
        <f t="array" ref="U421">_xlfn.IFS(N421&gt;200000,"PEAK SALES",N421&gt;100000,"GOOD SALES",N421&gt;50000,"AVERAGE SALES",N421&lt;50000,"PROFIT",N421&lt;10000,"LOSS")</f>
        <v>PROFIT</v>
      </c>
      <c r="V421" s="2">
        <f t="shared" si="6"/>
        <v>1</v>
      </c>
    </row>
    <row r="422" spans="1:22" x14ac:dyDescent="0.25">
      <c r="A422" s="2">
        <v>2421</v>
      </c>
      <c r="B422" s="2" t="s">
        <v>76</v>
      </c>
      <c r="C422" s="2" t="s">
        <v>87</v>
      </c>
      <c r="D422" s="2" t="s">
        <v>22</v>
      </c>
      <c r="E422" s="2" t="s">
        <v>56</v>
      </c>
      <c r="F422" s="2" t="s">
        <v>34</v>
      </c>
      <c r="G422" s="2" t="s">
        <v>41</v>
      </c>
      <c r="H422" s="2" t="s">
        <v>36</v>
      </c>
      <c r="I422" s="2">
        <v>5</v>
      </c>
      <c r="J422" s="2">
        <v>32423</v>
      </c>
      <c r="K422" s="2">
        <v>20830.240000000002</v>
      </c>
      <c r="L422" s="2">
        <v>16211.5</v>
      </c>
      <c r="M422" s="2">
        <v>107</v>
      </c>
      <c r="N422" s="2">
        <v>157603.26</v>
      </c>
      <c r="O422" s="2" t="s">
        <v>62</v>
      </c>
      <c r="P422" s="2">
        <v>33511</v>
      </c>
      <c r="Q422" s="2" t="s">
        <v>63</v>
      </c>
      <c r="R422" s="2" t="s">
        <v>37</v>
      </c>
      <c r="S422" s="2">
        <v>6</v>
      </c>
      <c r="T422" s="2">
        <v>5</v>
      </c>
      <c r="U422" s="2" t="str" cm="1">
        <f t="array" ref="U422">_xlfn.IFS(N422&gt;200000,"PEAK SALES",N422&gt;100000,"GOOD SALES",N422&gt;50000,"AVERAGE SALES",N422&lt;50000,"PROFIT",N422&lt;10000,"LOSS")</f>
        <v>GOOD SALES</v>
      </c>
      <c r="V422" s="2">
        <f t="shared" si="6"/>
        <v>1</v>
      </c>
    </row>
    <row r="423" spans="1:22" x14ac:dyDescent="0.25">
      <c r="A423" s="2">
        <v>2422</v>
      </c>
      <c r="B423" s="2" t="s">
        <v>118</v>
      </c>
      <c r="C423" s="2" t="s">
        <v>39</v>
      </c>
      <c r="D423" s="2" t="s">
        <v>22</v>
      </c>
      <c r="E423" s="2" t="s">
        <v>54</v>
      </c>
      <c r="F423" s="2" t="s">
        <v>24</v>
      </c>
      <c r="G423" s="2" t="s">
        <v>25</v>
      </c>
      <c r="H423" s="2" t="s">
        <v>36</v>
      </c>
      <c r="I423" s="2">
        <v>3</v>
      </c>
      <c r="J423" s="2">
        <v>56386</v>
      </c>
      <c r="K423" s="2">
        <v>8637.33</v>
      </c>
      <c r="L423" s="2">
        <v>16915.8</v>
      </c>
      <c r="M423" s="2">
        <v>450</v>
      </c>
      <c r="N423" s="2">
        <v>177886.47</v>
      </c>
      <c r="O423" s="2" t="s">
        <v>62</v>
      </c>
      <c r="P423" s="2">
        <v>23979</v>
      </c>
      <c r="Q423" s="2" t="s">
        <v>63</v>
      </c>
      <c r="R423" s="2" t="s">
        <v>44</v>
      </c>
      <c r="S423" s="2">
        <v>7</v>
      </c>
      <c r="T423" s="2">
        <v>2</v>
      </c>
      <c r="U423" s="2" t="str" cm="1">
        <f t="array" ref="U423">_xlfn.IFS(N423&gt;200000,"PEAK SALES",N423&gt;100000,"GOOD SALES",N423&gt;50000,"AVERAGE SALES",N423&lt;50000,"PROFIT",N423&lt;10000,"LOSS")</f>
        <v>GOOD SALES</v>
      </c>
      <c r="V423" s="2">
        <f t="shared" si="6"/>
        <v>4</v>
      </c>
    </row>
    <row r="424" spans="1:22" x14ac:dyDescent="0.25">
      <c r="A424" s="2">
        <v>2423</v>
      </c>
      <c r="B424" s="2" t="s">
        <v>104</v>
      </c>
      <c r="C424" s="2" t="s">
        <v>21</v>
      </c>
      <c r="D424" s="2" t="s">
        <v>22</v>
      </c>
      <c r="E424" s="2" t="s">
        <v>40</v>
      </c>
      <c r="F424" s="2" t="s">
        <v>34</v>
      </c>
      <c r="G424" s="2" t="s">
        <v>41</v>
      </c>
      <c r="H424" s="2" t="s">
        <v>26</v>
      </c>
      <c r="I424" s="2">
        <v>2</v>
      </c>
      <c r="J424" s="2">
        <v>31243</v>
      </c>
      <c r="K424" s="2">
        <v>7599.33</v>
      </c>
      <c r="L424" s="2">
        <v>6248.6</v>
      </c>
      <c r="M424" s="2">
        <v>281</v>
      </c>
      <c r="N424" s="2">
        <v>61416.27</v>
      </c>
      <c r="O424" s="2" t="s">
        <v>43</v>
      </c>
      <c r="P424" s="2">
        <v>9826</v>
      </c>
      <c r="Q424" s="2" t="s">
        <v>52</v>
      </c>
      <c r="R424" s="2" t="s">
        <v>37</v>
      </c>
      <c r="S424" s="2">
        <v>3</v>
      </c>
      <c r="T424" s="2">
        <v>4</v>
      </c>
      <c r="U424" s="2" t="str" cm="1">
        <f t="array" ref="U424">_xlfn.IFS(N424&gt;200000,"PEAK SALES",N424&gt;100000,"GOOD SALES",N424&gt;50000,"AVERAGE SALES",N424&lt;50000,"PROFIT",N424&lt;10000,"LOSS")</f>
        <v>AVERAGE SALES</v>
      </c>
      <c r="V424" s="2">
        <f t="shared" si="6"/>
        <v>3</v>
      </c>
    </row>
    <row r="425" spans="1:22" x14ac:dyDescent="0.25">
      <c r="A425" s="2">
        <v>2424</v>
      </c>
      <c r="B425" s="2" t="s">
        <v>151</v>
      </c>
      <c r="C425" s="2" t="s">
        <v>68</v>
      </c>
      <c r="D425" s="2" t="s">
        <v>73</v>
      </c>
      <c r="E425" s="2" t="s">
        <v>23</v>
      </c>
      <c r="F425" s="2" t="s">
        <v>34</v>
      </c>
      <c r="G425" s="2" t="s">
        <v>80</v>
      </c>
      <c r="H425" s="2" t="s">
        <v>61</v>
      </c>
      <c r="I425" s="2">
        <v>1</v>
      </c>
      <c r="J425" s="2">
        <v>20215</v>
      </c>
      <c r="K425" s="2">
        <v>3117.81</v>
      </c>
      <c r="L425" s="2">
        <v>2021.5</v>
      </c>
      <c r="M425" s="2">
        <v>466</v>
      </c>
      <c r="N425" s="2">
        <v>19584.689999999999</v>
      </c>
      <c r="O425" s="2" t="s">
        <v>43</v>
      </c>
      <c r="P425" s="2">
        <v>3899</v>
      </c>
      <c r="Q425" s="2" t="s">
        <v>28</v>
      </c>
      <c r="R425" s="2" t="s">
        <v>37</v>
      </c>
      <c r="S425" s="2">
        <v>1</v>
      </c>
      <c r="T425" s="2">
        <v>4</v>
      </c>
      <c r="U425" s="2" t="str" cm="1">
        <f t="array" ref="U425">_xlfn.IFS(N425&gt;200000,"PEAK SALES",N425&gt;100000,"GOOD SALES",N425&gt;50000,"AVERAGE SALES",N425&lt;50000,"PROFIT",N425&lt;10000,"LOSS")</f>
        <v>PROFIT</v>
      </c>
      <c r="V425" s="2">
        <f t="shared" si="6"/>
        <v>1</v>
      </c>
    </row>
    <row r="426" spans="1:22" x14ac:dyDescent="0.25">
      <c r="A426" s="2">
        <v>2425</v>
      </c>
      <c r="B426" s="2" t="s">
        <v>99</v>
      </c>
      <c r="C426" s="2" t="s">
        <v>58</v>
      </c>
      <c r="D426" s="2" t="s">
        <v>73</v>
      </c>
      <c r="E426" s="2" t="s">
        <v>40</v>
      </c>
      <c r="F426" s="2" t="s">
        <v>24</v>
      </c>
      <c r="G426" s="2" t="s">
        <v>25</v>
      </c>
      <c r="H426" s="2" t="s">
        <v>61</v>
      </c>
      <c r="I426" s="2">
        <v>2</v>
      </c>
      <c r="J426" s="2">
        <v>5497</v>
      </c>
      <c r="K426" s="2">
        <v>1908.27</v>
      </c>
      <c r="L426" s="2">
        <v>1099.4000000000001</v>
      </c>
      <c r="M426" s="2">
        <v>350</v>
      </c>
      <c r="N426" s="2">
        <v>10535.13</v>
      </c>
      <c r="O426" s="2" t="s">
        <v>43</v>
      </c>
      <c r="P426" s="2">
        <v>2549</v>
      </c>
      <c r="Q426" s="2" t="s">
        <v>28</v>
      </c>
      <c r="R426" s="2" t="s">
        <v>37</v>
      </c>
      <c r="S426" s="2">
        <v>9</v>
      </c>
      <c r="T426" s="2">
        <v>3</v>
      </c>
      <c r="U426" s="2" t="str" cm="1">
        <f t="array" ref="U426">_xlfn.IFS(N426&gt;200000,"PEAK SALES",N426&gt;100000,"GOOD SALES",N426&gt;50000,"AVERAGE SALES",N426&lt;50000,"PROFIT",N426&lt;10000,"LOSS")</f>
        <v>PROFIT</v>
      </c>
      <c r="V426" s="2">
        <f t="shared" si="6"/>
        <v>3</v>
      </c>
    </row>
    <row r="427" spans="1:22" x14ac:dyDescent="0.25">
      <c r="A427" s="2">
        <v>2426</v>
      </c>
      <c r="B427" s="2" t="s">
        <v>82</v>
      </c>
      <c r="C427" s="2" t="s">
        <v>75</v>
      </c>
      <c r="D427" s="2" t="s">
        <v>22</v>
      </c>
      <c r="E427" s="2" t="s">
        <v>79</v>
      </c>
      <c r="F427" s="2" t="s">
        <v>48</v>
      </c>
      <c r="G427" s="2" t="s">
        <v>77</v>
      </c>
      <c r="H427" s="2" t="s">
        <v>42</v>
      </c>
      <c r="I427" s="2">
        <v>5</v>
      </c>
      <c r="J427" s="2">
        <v>58755</v>
      </c>
      <c r="K427" s="2">
        <v>52667.91</v>
      </c>
      <c r="L427" s="2">
        <v>29377.5</v>
      </c>
      <c r="M427" s="2">
        <v>57</v>
      </c>
      <c r="N427" s="2">
        <v>270541.59000000003</v>
      </c>
      <c r="O427" s="2" t="s">
        <v>50</v>
      </c>
      <c r="P427" s="2">
        <v>28323</v>
      </c>
      <c r="Q427" s="2" t="s">
        <v>52</v>
      </c>
      <c r="R427" s="2" t="s">
        <v>44</v>
      </c>
      <c r="S427" s="2">
        <v>7</v>
      </c>
      <c r="T427" s="2">
        <v>1</v>
      </c>
      <c r="U427" s="2" t="str" cm="1">
        <f t="array" ref="U427">_xlfn.IFS(N427&gt;200000,"PEAK SALES",N427&gt;100000,"GOOD SALES",N427&gt;50000,"AVERAGE SALES",N427&lt;50000,"PROFIT",N427&lt;10000,"LOSS")</f>
        <v>PEAK SALES</v>
      </c>
      <c r="V427" s="2">
        <f t="shared" si="6"/>
        <v>4</v>
      </c>
    </row>
    <row r="428" spans="1:22" x14ac:dyDescent="0.25">
      <c r="A428" s="2">
        <v>2427</v>
      </c>
      <c r="B428" s="2" t="s">
        <v>170</v>
      </c>
      <c r="C428" s="2" t="s">
        <v>75</v>
      </c>
      <c r="D428" s="2" t="s">
        <v>59</v>
      </c>
      <c r="E428" s="2" t="s">
        <v>56</v>
      </c>
      <c r="F428" s="2" t="s">
        <v>48</v>
      </c>
      <c r="G428" s="2" t="s">
        <v>77</v>
      </c>
      <c r="H428" s="2" t="s">
        <v>36</v>
      </c>
      <c r="I428" s="2">
        <v>3</v>
      </c>
      <c r="J428" s="2">
        <v>23857</v>
      </c>
      <c r="K428" s="2">
        <v>8568.15</v>
      </c>
      <c r="L428" s="2">
        <v>7157.1</v>
      </c>
      <c r="M428" s="2">
        <v>467</v>
      </c>
      <c r="N428" s="2">
        <v>70626.95</v>
      </c>
      <c r="O428" s="2" t="s">
        <v>62</v>
      </c>
      <c r="P428" s="2">
        <v>15883</v>
      </c>
      <c r="Q428" s="2" t="s">
        <v>28</v>
      </c>
      <c r="R428" s="2" t="s">
        <v>29</v>
      </c>
      <c r="S428" s="2">
        <v>2</v>
      </c>
      <c r="T428" s="2">
        <v>3</v>
      </c>
      <c r="U428" s="2" t="str" cm="1">
        <f t="array" ref="U428">_xlfn.IFS(N428&gt;200000,"PEAK SALES",N428&gt;100000,"GOOD SALES",N428&gt;50000,"AVERAGE SALES",N428&lt;50000,"PROFIT",N428&lt;10000,"LOSS")</f>
        <v>AVERAGE SALES</v>
      </c>
      <c r="V428" s="2">
        <f t="shared" si="6"/>
        <v>1</v>
      </c>
    </row>
    <row r="429" spans="1:22" x14ac:dyDescent="0.25">
      <c r="A429" s="2">
        <v>2428</v>
      </c>
      <c r="B429" s="2" t="s">
        <v>53</v>
      </c>
      <c r="C429" s="2" t="s">
        <v>58</v>
      </c>
      <c r="D429" s="2" t="s">
        <v>59</v>
      </c>
      <c r="E429" s="2" t="s">
        <v>33</v>
      </c>
      <c r="F429" s="2" t="s">
        <v>48</v>
      </c>
      <c r="G429" s="2" t="s">
        <v>66</v>
      </c>
      <c r="H429" s="2" t="s">
        <v>26</v>
      </c>
      <c r="I429" s="2">
        <v>5</v>
      </c>
      <c r="J429" s="2">
        <v>24551</v>
      </c>
      <c r="K429" s="2">
        <v>22902.62</v>
      </c>
      <c r="L429" s="2">
        <v>12275.5</v>
      </c>
      <c r="M429" s="2">
        <v>267</v>
      </c>
      <c r="N429" s="2">
        <v>112394.88</v>
      </c>
      <c r="O429" s="2" t="s">
        <v>50</v>
      </c>
      <c r="P429" s="2">
        <v>33341</v>
      </c>
      <c r="Q429" s="2" t="s">
        <v>63</v>
      </c>
      <c r="R429" s="2" t="s">
        <v>37</v>
      </c>
      <c r="S429" s="2">
        <v>10</v>
      </c>
      <c r="T429" s="2">
        <v>2</v>
      </c>
      <c r="U429" s="2" t="str" cm="1">
        <f t="array" ref="U429">_xlfn.IFS(N429&gt;200000,"PEAK SALES",N429&gt;100000,"GOOD SALES",N429&gt;50000,"AVERAGE SALES",N429&lt;50000,"PROFIT",N429&lt;10000,"LOSS")</f>
        <v>GOOD SALES</v>
      </c>
      <c r="V429" s="2">
        <f t="shared" si="6"/>
        <v>1</v>
      </c>
    </row>
    <row r="430" spans="1:22" x14ac:dyDescent="0.25">
      <c r="A430" s="2">
        <v>2429</v>
      </c>
      <c r="B430" s="2" t="s">
        <v>123</v>
      </c>
      <c r="C430" s="2" t="s">
        <v>72</v>
      </c>
      <c r="D430" s="2" t="s">
        <v>22</v>
      </c>
      <c r="E430" s="2" t="s">
        <v>103</v>
      </c>
      <c r="F430" s="2" t="s">
        <v>24</v>
      </c>
      <c r="G430" s="2" t="s">
        <v>94</v>
      </c>
      <c r="H430" s="2" t="s">
        <v>61</v>
      </c>
      <c r="I430" s="2">
        <v>1</v>
      </c>
      <c r="J430" s="2">
        <v>19508</v>
      </c>
      <c r="K430" s="2">
        <v>3495.07</v>
      </c>
      <c r="L430" s="2">
        <v>1950.8</v>
      </c>
      <c r="M430" s="2">
        <v>500</v>
      </c>
      <c r="N430" s="2">
        <v>18463.73</v>
      </c>
      <c r="O430" s="2" t="s">
        <v>50</v>
      </c>
      <c r="P430" s="2">
        <v>2598</v>
      </c>
      <c r="Q430" s="2" t="s">
        <v>52</v>
      </c>
      <c r="R430" s="2" t="s">
        <v>29</v>
      </c>
      <c r="S430" s="2">
        <v>5</v>
      </c>
      <c r="T430" s="2">
        <v>4</v>
      </c>
      <c r="U430" s="2" t="str" cm="1">
        <f t="array" ref="U430">_xlfn.IFS(N430&gt;200000,"PEAK SALES",N430&gt;100000,"GOOD SALES",N430&gt;50000,"AVERAGE SALES",N430&lt;50000,"PROFIT",N430&lt;10000,"LOSS")</f>
        <v>PROFIT</v>
      </c>
      <c r="V430" s="2">
        <f t="shared" si="6"/>
        <v>2</v>
      </c>
    </row>
    <row r="431" spans="1:22" x14ac:dyDescent="0.25">
      <c r="A431" s="2">
        <v>2430</v>
      </c>
      <c r="B431" s="2" t="s">
        <v>91</v>
      </c>
      <c r="C431" s="2" t="s">
        <v>21</v>
      </c>
      <c r="D431" s="2" t="s">
        <v>22</v>
      </c>
      <c r="E431" s="2" t="s">
        <v>56</v>
      </c>
      <c r="F431" s="2" t="s">
        <v>24</v>
      </c>
      <c r="G431" s="2" t="s">
        <v>25</v>
      </c>
      <c r="H431" s="2" t="s">
        <v>36</v>
      </c>
      <c r="I431" s="2">
        <v>3</v>
      </c>
      <c r="J431" s="2">
        <v>48910</v>
      </c>
      <c r="K431" s="2">
        <v>18166.22</v>
      </c>
      <c r="L431" s="2">
        <v>14673</v>
      </c>
      <c r="M431" s="2">
        <v>170</v>
      </c>
      <c r="N431" s="2">
        <v>143406.78</v>
      </c>
      <c r="O431" s="2" t="s">
        <v>43</v>
      </c>
      <c r="P431" s="2">
        <v>22279</v>
      </c>
      <c r="Q431" s="2" t="s">
        <v>63</v>
      </c>
      <c r="R431" s="2" t="s">
        <v>29</v>
      </c>
      <c r="S431" s="2">
        <v>10</v>
      </c>
      <c r="T431" s="2">
        <v>5</v>
      </c>
      <c r="U431" s="2" t="str" cm="1">
        <f t="array" ref="U431">_xlfn.IFS(N431&gt;200000,"PEAK SALES",N431&gt;100000,"GOOD SALES",N431&gt;50000,"AVERAGE SALES",N431&lt;50000,"PROFIT",N431&lt;10000,"LOSS")</f>
        <v>GOOD SALES</v>
      </c>
      <c r="V431" s="2">
        <f t="shared" si="6"/>
        <v>2</v>
      </c>
    </row>
    <row r="432" spans="1:22" x14ac:dyDescent="0.25">
      <c r="A432" s="2">
        <v>2431</v>
      </c>
      <c r="B432" s="2" t="s">
        <v>64</v>
      </c>
      <c r="C432" s="2" t="s">
        <v>72</v>
      </c>
      <c r="D432" s="2" t="s">
        <v>32</v>
      </c>
      <c r="E432" s="2" t="s">
        <v>56</v>
      </c>
      <c r="F432" s="2" t="s">
        <v>24</v>
      </c>
      <c r="G432" s="2" t="s">
        <v>69</v>
      </c>
      <c r="H432" s="2" t="s">
        <v>61</v>
      </c>
      <c r="I432" s="2">
        <v>5</v>
      </c>
      <c r="J432" s="2">
        <v>1772</v>
      </c>
      <c r="K432" s="2">
        <v>1302.55</v>
      </c>
      <c r="L432" s="2">
        <v>886</v>
      </c>
      <c r="M432" s="2">
        <v>495</v>
      </c>
      <c r="N432" s="2">
        <v>8938.4500000000007</v>
      </c>
      <c r="O432" s="2" t="s">
        <v>43</v>
      </c>
      <c r="P432" s="2">
        <v>2245</v>
      </c>
      <c r="Q432" s="2" t="s">
        <v>28</v>
      </c>
      <c r="R432" s="2" t="s">
        <v>37</v>
      </c>
      <c r="S432" s="2">
        <v>5</v>
      </c>
      <c r="T432" s="2">
        <v>1</v>
      </c>
      <c r="U432" s="2" t="str" cm="1">
        <f t="array" ref="U432">_xlfn.IFS(N432&gt;200000,"PEAK SALES",N432&gt;100000,"GOOD SALES",N432&gt;50000,"AVERAGE SALES",N432&lt;50000,"PROFIT",N432&lt;10000,"LOSS")</f>
        <v>PROFIT</v>
      </c>
      <c r="V432" s="2">
        <f t="shared" si="6"/>
        <v>1</v>
      </c>
    </row>
    <row r="433" spans="1:22" x14ac:dyDescent="0.25">
      <c r="A433" s="2">
        <v>2432</v>
      </c>
      <c r="B433" s="2" t="s">
        <v>175</v>
      </c>
      <c r="C433" s="2" t="s">
        <v>68</v>
      </c>
      <c r="D433" s="2" t="s">
        <v>22</v>
      </c>
      <c r="E433" s="2" t="s">
        <v>33</v>
      </c>
      <c r="F433" s="2" t="s">
        <v>24</v>
      </c>
      <c r="G433" s="2" t="s">
        <v>69</v>
      </c>
      <c r="H433" s="2" t="s">
        <v>61</v>
      </c>
      <c r="I433" s="2">
        <v>2</v>
      </c>
      <c r="J433" s="2">
        <v>42684</v>
      </c>
      <c r="K433" s="2">
        <v>8911.16</v>
      </c>
      <c r="L433" s="2">
        <v>8536.7999999999993</v>
      </c>
      <c r="M433" s="2">
        <v>120</v>
      </c>
      <c r="N433" s="2">
        <v>85113.64</v>
      </c>
      <c r="O433" s="2" t="s">
        <v>27</v>
      </c>
      <c r="P433" s="2">
        <v>9124</v>
      </c>
      <c r="Q433" s="2" t="s">
        <v>52</v>
      </c>
      <c r="R433" s="2" t="s">
        <v>37</v>
      </c>
      <c r="S433" s="2">
        <v>5</v>
      </c>
      <c r="T433" s="2">
        <v>4</v>
      </c>
      <c r="U433" s="2" t="str" cm="1">
        <f t="array" ref="U433">_xlfn.IFS(N433&gt;200000,"PEAK SALES",N433&gt;100000,"GOOD SALES",N433&gt;50000,"AVERAGE SALES",N433&lt;50000,"PROFIT",N433&lt;10000,"LOSS")</f>
        <v>AVERAGE SALES</v>
      </c>
      <c r="V433" s="2">
        <f t="shared" si="6"/>
        <v>2</v>
      </c>
    </row>
    <row r="434" spans="1:22" x14ac:dyDescent="0.25">
      <c r="A434" s="2">
        <v>2433</v>
      </c>
      <c r="B434" s="2" t="s">
        <v>119</v>
      </c>
      <c r="C434" s="2" t="s">
        <v>68</v>
      </c>
      <c r="D434" s="2" t="s">
        <v>22</v>
      </c>
      <c r="E434" s="2" t="s">
        <v>33</v>
      </c>
      <c r="F434" s="2" t="s">
        <v>24</v>
      </c>
      <c r="G434" s="2" t="s">
        <v>69</v>
      </c>
      <c r="H434" s="2" t="s">
        <v>26</v>
      </c>
      <c r="I434" s="2">
        <v>1</v>
      </c>
      <c r="J434" s="2">
        <v>48314</v>
      </c>
      <c r="K434" s="2">
        <v>4092.42</v>
      </c>
      <c r="L434" s="2">
        <v>4831.3999999999996</v>
      </c>
      <c r="M434" s="2">
        <v>70</v>
      </c>
      <c r="N434" s="2">
        <v>49122.98</v>
      </c>
      <c r="O434" s="2" t="s">
        <v>27</v>
      </c>
      <c r="P434" s="2">
        <v>6052</v>
      </c>
      <c r="Q434" s="2" t="s">
        <v>63</v>
      </c>
      <c r="R434" s="2" t="s">
        <v>37</v>
      </c>
      <c r="S434" s="2">
        <v>8</v>
      </c>
      <c r="T434" s="2">
        <v>4</v>
      </c>
      <c r="U434" s="2" t="str" cm="1">
        <f t="array" ref="U434">_xlfn.IFS(N434&gt;200000,"PEAK SALES",N434&gt;100000,"GOOD SALES",N434&gt;50000,"AVERAGE SALES",N434&lt;50000,"PROFIT",N434&lt;10000,"LOSS")</f>
        <v>PROFIT</v>
      </c>
      <c r="V434" s="2">
        <f t="shared" si="6"/>
        <v>2</v>
      </c>
    </row>
    <row r="435" spans="1:22" x14ac:dyDescent="0.25">
      <c r="A435" s="2">
        <v>2434</v>
      </c>
      <c r="B435" s="2" t="s">
        <v>179</v>
      </c>
      <c r="C435" s="2" t="s">
        <v>65</v>
      </c>
      <c r="D435" s="2" t="s">
        <v>22</v>
      </c>
      <c r="E435" s="2" t="s">
        <v>56</v>
      </c>
      <c r="F435" s="2" t="s">
        <v>48</v>
      </c>
      <c r="G435" s="2" t="s">
        <v>66</v>
      </c>
      <c r="H435" s="2" t="s">
        <v>36</v>
      </c>
      <c r="I435" s="2">
        <v>4</v>
      </c>
      <c r="J435" s="2">
        <v>38470</v>
      </c>
      <c r="K435" s="2">
        <v>27229.82</v>
      </c>
      <c r="L435" s="2">
        <v>15388</v>
      </c>
      <c r="M435" s="2">
        <v>360</v>
      </c>
      <c r="N435" s="2">
        <v>142398.18</v>
      </c>
      <c r="O435" s="2" t="s">
        <v>27</v>
      </c>
      <c r="P435" s="2">
        <v>19622</v>
      </c>
      <c r="Q435" s="2" t="s">
        <v>28</v>
      </c>
      <c r="R435" s="2" t="s">
        <v>37</v>
      </c>
      <c r="S435" s="2">
        <v>7</v>
      </c>
      <c r="T435" s="2">
        <v>1</v>
      </c>
      <c r="U435" s="2" t="str" cm="1">
        <f t="array" ref="U435">_xlfn.IFS(N435&gt;200000,"PEAK SALES",N435&gt;100000,"GOOD SALES",N435&gt;50000,"AVERAGE SALES",N435&lt;50000,"PROFIT",N435&lt;10000,"LOSS")</f>
        <v>GOOD SALES</v>
      </c>
      <c r="V435" s="2">
        <f t="shared" si="6"/>
        <v>4</v>
      </c>
    </row>
    <row r="436" spans="1:22" x14ac:dyDescent="0.25">
      <c r="A436" s="2">
        <v>2435</v>
      </c>
      <c r="B436" s="2" t="s">
        <v>67</v>
      </c>
      <c r="C436" s="2" t="s">
        <v>75</v>
      </c>
      <c r="D436" s="2" t="s">
        <v>32</v>
      </c>
      <c r="E436" s="2" t="s">
        <v>56</v>
      </c>
      <c r="F436" s="2" t="s">
        <v>24</v>
      </c>
      <c r="G436" s="2" t="s">
        <v>94</v>
      </c>
      <c r="H436" s="2" t="s">
        <v>26</v>
      </c>
      <c r="I436" s="2">
        <v>5</v>
      </c>
      <c r="J436" s="2">
        <v>41454</v>
      </c>
      <c r="K436" s="2">
        <v>37679.4</v>
      </c>
      <c r="L436" s="2">
        <v>20727</v>
      </c>
      <c r="M436" s="2">
        <v>352</v>
      </c>
      <c r="N436" s="2">
        <v>190669.6</v>
      </c>
      <c r="O436" s="2" t="s">
        <v>62</v>
      </c>
      <c r="P436" s="2">
        <v>46933</v>
      </c>
      <c r="Q436" s="2" t="s">
        <v>28</v>
      </c>
      <c r="R436" s="2" t="s">
        <v>37</v>
      </c>
      <c r="S436" s="2">
        <v>6</v>
      </c>
      <c r="T436" s="2">
        <v>4</v>
      </c>
      <c r="U436" s="2" t="str" cm="1">
        <f t="array" ref="U436">_xlfn.IFS(N436&gt;200000,"PEAK SALES",N436&gt;100000,"GOOD SALES",N436&gt;50000,"AVERAGE SALES",N436&lt;50000,"PROFIT",N436&lt;10000,"LOSS")</f>
        <v>GOOD SALES</v>
      </c>
      <c r="V436" s="2">
        <f t="shared" si="6"/>
        <v>4</v>
      </c>
    </row>
    <row r="437" spans="1:22" x14ac:dyDescent="0.25">
      <c r="A437" s="2">
        <v>2436</v>
      </c>
      <c r="B437" s="2" t="s">
        <v>173</v>
      </c>
      <c r="C437" s="2" t="s">
        <v>31</v>
      </c>
      <c r="D437" s="2" t="s">
        <v>73</v>
      </c>
      <c r="E437" s="2" t="s">
        <v>40</v>
      </c>
      <c r="F437" s="2" t="s">
        <v>48</v>
      </c>
      <c r="G437" s="2" t="s">
        <v>49</v>
      </c>
      <c r="H437" s="2" t="s">
        <v>36</v>
      </c>
      <c r="I437" s="2">
        <v>2</v>
      </c>
      <c r="J437" s="2">
        <v>9867</v>
      </c>
      <c r="K437" s="2">
        <v>2435.5100000000002</v>
      </c>
      <c r="L437" s="2">
        <v>1973.4</v>
      </c>
      <c r="M437" s="2">
        <v>389</v>
      </c>
      <c r="N437" s="2">
        <v>19660.89</v>
      </c>
      <c r="O437" s="2" t="s">
        <v>62</v>
      </c>
      <c r="P437" s="2">
        <v>2450</v>
      </c>
      <c r="Q437" s="2" t="s">
        <v>63</v>
      </c>
      <c r="R437" s="2" t="s">
        <v>29</v>
      </c>
      <c r="S437" s="2">
        <v>9</v>
      </c>
      <c r="T437" s="2">
        <v>3</v>
      </c>
      <c r="U437" s="2" t="str" cm="1">
        <f t="array" ref="U437">_xlfn.IFS(N437&gt;200000,"PEAK SALES",N437&gt;100000,"GOOD SALES",N437&gt;50000,"AVERAGE SALES",N437&lt;50000,"PROFIT",N437&lt;10000,"LOSS")</f>
        <v>PROFIT</v>
      </c>
      <c r="V437" s="2">
        <f t="shared" si="6"/>
        <v>2</v>
      </c>
    </row>
    <row r="438" spans="1:22" x14ac:dyDescent="0.25">
      <c r="A438" s="2">
        <v>2437</v>
      </c>
      <c r="B438" s="2" t="s">
        <v>78</v>
      </c>
      <c r="C438" s="2" t="s">
        <v>21</v>
      </c>
      <c r="D438" s="2" t="s">
        <v>59</v>
      </c>
      <c r="E438" s="2" t="s">
        <v>79</v>
      </c>
      <c r="F438" s="2" t="s">
        <v>24</v>
      </c>
      <c r="G438" s="2" t="s">
        <v>94</v>
      </c>
      <c r="H438" s="2" t="s">
        <v>26</v>
      </c>
      <c r="I438" s="2">
        <v>2</v>
      </c>
      <c r="J438" s="2">
        <v>59144</v>
      </c>
      <c r="K438" s="2">
        <v>9345.16</v>
      </c>
      <c r="L438" s="2">
        <v>11828.8</v>
      </c>
      <c r="M438" s="2">
        <v>439</v>
      </c>
      <c r="N438" s="2">
        <v>121210.64</v>
      </c>
      <c r="O438" s="2" t="s">
        <v>27</v>
      </c>
      <c r="P438" s="2">
        <v>28473</v>
      </c>
      <c r="Q438" s="2" t="s">
        <v>28</v>
      </c>
      <c r="R438" s="2" t="s">
        <v>44</v>
      </c>
      <c r="S438" s="2">
        <v>3</v>
      </c>
      <c r="T438" s="2">
        <v>1</v>
      </c>
      <c r="U438" s="2" t="str" cm="1">
        <f t="array" ref="U438">_xlfn.IFS(N438&gt;200000,"PEAK SALES",N438&gt;100000,"GOOD SALES",N438&gt;50000,"AVERAGE SALES",N438&lt;50000,"PROFIT",N438&lt;10000,"LOSS")</f>
        <v>GOOD SALES</v>
      </c>
      <c r="V438" s="2">
        <f t="shared" si="6"/>
        <v>3</v>
      </c>
    </row>
    <row r="439" spans="1:22" x14ac:dyDescent="0.25">
      <c r="A439" s="2">
        <v>2438</v>
      </c>
      <c r="B439" s="2" t="s">
        <v>158</v>
      </c>
      <c r="C439" s="2" t="s">
        <v>87</v>
      </c>
      <c r="D439" s="2" t="s">
        <v>59</v>
      </c>
      <c r="E439" s="2" t="s">
        <v>56</v>
      </c>
      <c r="F439" s="2" t="s">
        <v>34</v>
      </c>
      <c r="G439" s="2" t="s">
        <v>60</v>
      </c>
      <c r="H439" s="2" t="s">
        <v>26</v>
      </c>
      <c r="I439" s="2">
        <v>2</v>
      </c>
      <c r="J439" s="2">
        <v>38194</v>
      </c>
      <c r="K439" s="2">
        <v>15050.55</v>
      </c>
      <c r="L439" s="2">
        <v>7638.8</v>
      </c>
      <c r="M439" s="2">
        <v>133</v>
      </c>
      <c r="N439" s="2">
        <v>69109.25</v>
      </c>
      <c r="O439" s="2" t="s">
        <v>27</v>
      </c>
      <c r="P439" s="2">
        <v>10221</v>
      </c>
      <c r="Q439" s="2" t="s">
        <v>52</v>
      </c>
      <c r="R439" s="2" t="s">
        <v>29</v>
      </c>
      <c r="S439" s="2">
        <v>8</v>
      </c>
      <c r="T439" s="2">
        <v>1</v>
      </c>
      <c r="U439" s="2" t="str" cm="1">
        <f t="array" ref="U439">_xlfn.IFS(N439&gt;200000,"PEAK SALES",N439&gt;100000,"GOOD SALES",N439&gt;50000,"AVERAGE SALES",N439&lt;50000,"PROFIT",N439&lt;10000,"LOSS")</f>
        <v>AVERAGE SALES</v>
      </c>
      <c r="V439" s="2">
        <f t="shared" si="6"/>
        <v>1</v>
      </c>
    </row>
    <row r="440" spans="1:22" x14ac:dyDescent="0.25">
      <c r="A440" s="2">
        <v>2439</v>
      </c>
      <c r="B440" s="2" t="s">
        <v>112</v>
      </c>
      <c r="C440" s="2" t="s">
        <v>75</v>
      </c>
      <c r="D440" s="2" t="s">
        <v>32</v>
      </c>
      <c r="E440" s="2" t="s">
        <v>103</v>
      </c>
      <c r="F440" s="2" t="s">
        <v>34</v>
      </c>
      <c r="G440" s="2" t="s">
        <v>60</v>
      </c>
      <c r="H440" s="2" t="s">
        <v>26</v>
      </c>
      <c r="I440" s="2">
        <v>2</v>
      </c>
      <c r="J440" s="2">
        <v>12077</v>
      </c>
      <c r="K440" s="2">
        <v>1696.91</v>
      </c>
      <c r="L440" s="2">
        <v>2415.4</v>
      </c>
      <c r="M440" s="2">
        <v>380</v>
      </c>
      <c r="N440" s="2">
        <v>25252.49</v>
      </c>
      <c r="O440" s="2" t="s">
        <v>62</v>
      </c>
      <c r="P440" s="2">
        <v>5156</v>
      </c>
      <c r="Q440" s="2" t="s">
        <v>52</v>
      </c>
      <c r="R440" s="2" t="s">
        <v>29</v>
      </c>
      <c r="S440" s="2">
        <v>9</v>
      </c>
      <c r="T440" s="2">
        <v>3</v>
      </c>
      <c r="U440" s="2" t="str" cm="1">
        <f t="array" ref="U440">_xlfn.IFS(N440&gt;200000,"PEAK SALES",N440&gt;100000,"GOOD SALES",N440&gt;50000,"AVERAGE SALES",N440&lt;50000,"PROFIT",N440&lt;10000,"LOSS")</f>
        <v>PROFIT</v>
      </c>
      <c r="V440" s="2">
        <f t="shared" si="6"/>
        <v>1</v>
      </c>
    </row>
    <row r="441" spans="1:22" x14ac:dyDescent="0.25">
      <c r="A441" s="2">
        <v>2440</v>
      </c>
      <c r="B441" s="2" t="s">
        <v>88</v>
      </c>
      <c r="C441" s="2" t="s">
        <v>31</v>
      </c>
      <c r="D441" s="2" t="s">
        <v>22</v>
      </c>
      <c r="E441" s="2" t="s">
        <v>23</v>
      </c>
      <c r="F441" s="2" t="s">
        <v>34</v>
      </c>
      <c r="G441" s="2" t="s">
        <v>60</v>
      </c>
      <c r="H441" s="2" t="s">
        <v>36</v>
      </c>
      <c r="I441" s="2">
        <v>5</v>
      </c>
      <c r="J441" s="2">
        <v>38973</v>
      </c>
      <c r="K441" s="2">
        <v>21997.75</v>
      </c>
      <c r="L441" s="2">
        <v>19486.5</v>
      </c>
      <c r="M441" s="2">
        <v>310</v>
      </c>
      <c r="N441" s="2">
        <v>192663.75</v>
      </c>
      <c r="O441" s="2" t="s">
        <v>50</v>
      </c>
      <c r="P441" s="2">
        <v>19849</v>
      </c>
      <c r="Q441" s="2" t="s">
        <v>28</v>
      </c>
      <c r="R441" s="2" t="s">
        <v>37</v>
      </c>
      <c r="S441" s="2">
        <v>8</v>
      </c>
      <c r="T441" s="2">
        <v>5</v>
      </c>
      <c r="U441" s="2" t="str" cm="1">
        <f t="array" ref="U441">_xlfn.IFS(N441&gt;200000,"PEAK SALES",N441&gt;100000,"GOOD SALES",N441&gt;50000,"AVERAGE SALES",N441&lt;50000,"PROFIT",N441&lt;10000,"LOSS")</f>
        <v>GOOD SALES</v>
      </c>
      <c r="V441" s="2">
        <f t="shared" si="6"/>
        <v>3</v>
      </c>
    </row>
    <row r="442" spans="1:22" x14ac:dyDescent="0.25">
      <c r="A442" s="2">
        <v>2441</v>
      </c>
      <c r="B442" s="2" t="s">
        <v>183</v>
      </c>
      <c r="C442" s="2" t="s">
        <v>58</v>
      </c>
      <c r="D442" s="2" t="s">
        <v>22</v>
      </c>
      <c r="E442" s="2" t="s">
        <v>56</v>
      </c>
      <c r="F442" s="2" t="s">
        <v>48</v>
      </c>
      <c r="G442" s="2" t="s">
        <v>77</v>
      </c>
      <c r="H442" s="2" t="s">
        <v>61</v>
      </c>
      <c r="I442" s="2">
        <v>2</v>
      </c>
      <c r="J442" s="2">
        <v>26980</v>
      </c>
      <c r="K442" s="2">
        <v>8114.24</v>
      </c>
      <c r="L442" s="2">
        <v>5396</v>
      </c>
      <c r="M442" s="2">
        <v>288</v>
      </c>
      <c r="N442" s="2">
        <v>51529.760000000002</v>
      </c>
      <c r="O442" s="2" t="s">
        <v>27</v>
      </c>
      <c r="P442" s="2">
        <v>11848</v>
      </c>
      <c r="Q442" s="2" t="s">
        <v>52</v>
      </c>
      <c r="R442" s="2" t="s">
        <v>44</v>
      </c>
      <c r="S442" s="2">
        <v>10</v>
      </c>
      <c r="T442" s="2">
        <v>4</v>
      </c>
      <c r="U442" s="2" t="str" cm="1">
        <f t="array" ref="U442">_xlfn.IFS(N442&gt;200000,"PEAK SALES",N442&gt;100000,"GOOD SALES",N442&gt;50000,"AVERAGE SALES",N442&lt;50000,"PROFIT",N442&lt;10000,"LOSS")</f>
        <v>AVERAGE SALES</v>
      </c>
      <c r="V442" s="2">
        <f t="shared" si="6"/>
        <v>4</v>
      </c>
    </row>
    <row r="443" spans="1:22" x14ac:dyDescent="0.25">
      <c r="A443" s="2">
        <v>2442</v>
      </c>
      <c r="B443" s="2" t="s">
        <v>111</v>
      </c>
      <c r="C443" s="2" t="s">
        <v>68</v>
      </c>
      <c r="D443" s="2" t="s">
        <v>59</v>
      </c>
      <c r="E443" s="2" t="s">
        <v>23</v>
      </c>
      <c r="F443" s="2" t="s">
        <v>34</v>
      </c>
      <c r="G443" s="2" t="s">
        <v>60</v>
      </c>
      <c r="H443" s="2" t="s">
        <v>42</v>
      </c>
      <c r="I443" s="2">
        <v>2</v>
      </c>
      <c r="J443" s="2">
        <v>20904</v>
      </c>
      <c r="K443" s="2">
        <v>5641.07</v>
      </c>
      <c r="L443" s="2">
        <v>4180.8</v>
      </c>
      <c r="M443" s="2">
        <v>92</v>
      </c>
      <c r="N443" s="2">
        <v>40439.730000000003</v>
      </c>
      <c r="O443" s="2" t="s">
        <v>50</v>
      </c>
      <c r="P443" s="2">
        <v>9587</v>
      </c>
      <c r="Q443" s="2" t="s">
        <v>28</v>
      </c>
      <c r="R443" s="2" t="s">
        <v>44</v>
      </c>
      <c r="S443" s="2">
        <v>7</v>
      </c>
      <c r="T443" s="2">
        <v>4</v>
      </c>
      <c r="U443" s="2" t="str" cm="1">
        <f t="array" ref="U443">_xlfn.IFS(N443&gt;200000,"PEAK SALES",N443&gt;100000,"GOOD SALES",N443&gt;50000,"AVERAGE SALES",N443&lt;50000,"PROFIT",N443&lt;10000,"LOSS")</f>
        <v>PROFIT</v>
      </c>
      <c r="V443" s="2">
        <f t="shared" si="6"/>
        <v>4</v>
      </c>
    </row>
    <row r="444" spans="1:22" x14ac:dyDescent="0.25">
      <c r="A444" s="2">
        <v>2443</v>
      </c>
      <c r="B444" s="2" t="s">
        <v>110</v>
      </c>
      <c r="C444" s="2" t="s">
        <v>87</v>
      </c>
      <c r="D444" s="2" t="s">
        <v>59</v>
      </c>
      <c r="E444" s="2" t="s">
        <v>47</v>
      </c>
      <c r="F444" s="2" t="s">
        <v>24</v>
      </c>
      <c r="G444" s="2" t="s">
        <v>25</v>
      </c>
      <c r="H444" s="2" t="s">
        <v>42</v>
      </c>
      <c r="I444" s="2">
        <v>4</v>
      </c>
      <c r="J444" s="2">
        <v>50717</v>
      </c>
      <c r="K444" s="2">
        <v>31925.65</v>
      </c>
      <c r="L444" s="2">
        <v>20286.8</v>
      </c>
      <c r="M444" s="2">
        <v>267</v>
      </c>
      <c r="N444" s="2">
        <v>191496.15</v>
      </c>
      <c r="O444" s="2" t="s">
        <v>27</v>
      </c>
      <c r="P444" s="2">
        <v>20703</v>
      </c>
      <c r="Q444" s="2" t="s">
        <v>63</v>
      </c>
      <c r="R444" s="2" t="s">
        <v>29</v>
      </c>
      <c r="S444" s="2">
        <v>10</v>
      </c>
      <c r="T444" s="2">
        <v>5</v>
      </c>
      <c r="U444" s="2" t="str" cm="1">
        <f t="array" ref="U444">_xlfn.IFS(N444&gt;200000,"PEAK SALES",N444&gt;100000,"GOOD SALES",N444&gt;50000,"AVERAGE SALES",N444&lt;50000,"PROFIT",N444&lt;10000,"LOSS")</f>
        <v>GOOD SALES</v>
      </c>
      <c r="V444" s="2">
        <f t="shared" si="6"/>
        <v>2</v>
      </c>
    </row>
    <row r="445" spans="1:22" x14ac:dyDescent="0.25">
      <c r="A445" s="2">
        <v>2444</v>
      </c>
      <c r="B445" s="2" t="s">
        <v>153</v>
      </c>
      <c r="C445" s="2" t="s">
        <v>39</v>
      </c>
      <c r="D445" s="2" t="s">
        <v>32</v>
      </c>
      <c r="E445" s="2" t="s">
        <v>40</v>
      </c>
      <c r="F445" s="2" t="s">
        <v>24</v>
      </c>
      <c r="G445" s="2" t="s">
        <v>94</v>
      </c>
      <c r="H445" s="2" t="s">
        <v>61</v>
      </c>
      <c r="I445" s="2">
        <v>1</v>
      </c>
      <c r="J445" s="2">
        <v>28171</v>
      </c>
      <c r="K445" s="2">
        <v>4110.4399999999996</v>
      </c>
      <c r="L445" s="2">
        <v>2817.1</v>
      </c>
      <c r="M445" s="2">
        <v>127</v>
      </c>
      <c r="N445" s="2">
        <v>27004.66</v>
      </c>
      <c r="O445" s="2" t="s">
        <v>50</v>
      </c>
      <c r="P445" s="2">
        <v>4812</v>
      </c>
      <c r="Q445" s="2" t="s">
        <v>63</v>
      </c>
      <c r="R445" s="2" t="s">
        <v>37</v>
      </c>
      <c r="S445" s="2">
        <v>2</v>
      </c>
      <c r="T445" s="2">
        <v>4</v>
      </c>
      <c r="U445" s="2" t="str" cm="1">
        <f t="array" ref="U445">_xlfn.IFS(N445&gt;200000,"PEAK SALES",N445&gt;100000,"GOOD SALES",N445&gt;50000,"AVERAGE SALES",N445&lt;50000,"PROFIT",N445&lt;10000,"LOSS")</f>
        <v>PROFIT</v>
      </c>
      <c r="V445" s="2">
        <f t="shared" si="6"/>
        <v>2</v>
      </c>
    </row>
    <row r="446" spans="1:22" x14ac:dyDescent="0.25">
      <c r="A446" s="2">
        <v>2445</v>
      </c>
      <c r="B446" s="2" t="s">
        <v>173</v>
      </c>
      <c r="C446" s="2" t="s">
        <v>46</v>
      </c>
      <c r="D446" s="2" t="s">
        <v>22</v>
      </c>
      <c r="E446" s="2" t="s">
        <v>54</v>
      </c>
      <c r="F446" s="2" t="s">
        <v>34</v>
      </c>
      <c r="G446" s="2" t="s">
        <v>41</v>
      </c>
      <c r="H446" s="2" t="s">
        <v>42</v>
      </c>
      <c r="I446" s="2">
        <v>3</v>
      </c>
      <c r="J446" s="2">
        <v>46451</v>
      </c>
      <c r="K446" s="2">
        <v>19309.46</v>
      </c>
      <c r="L446" s="2">
        <v>13935.3</v>
      </c>
      <c r="M446" s="2">
        <v>293</v>
      </c>
      <c r="N446" s="2">
        <v>134271.84</v>
      </c>
      <c r="O446" s="2" t="s">
        <v>62</v>
      </c>
      <c r="P446" s="2">
        <v>17613</v>
      </c>
      <c r="Q446" s="2" t="s">
        <v>28</v>
      </c>
      <c r="R446" s="2" t="s">
        <v>37</v>
      </c>
      <c r="S446" s="2">
        <v>5</v>
      </c>
      <c r="T446" s="2">
        <v>5</v>
      </c>
      <c r="U446" s="2" t="str" cm="1">
        <f t="array" ref="U446">_xlfn.IFS(N446&gt;200000,"PEAK SALES",N446&gt;100000,"GOOD SALES",N446&gt;50000,"AVERAGE SALES",N446&lt;50000,"PROFIT",N446&lt;10000,"LOSS")</f>
        <v>GOOD SALES</v>
      </c>
      <c r="V446" s="2">
        <f t="shared" si="6"/>
        <v>2</v>
      </c>
    </row>
    <row r="447" spans="1:22" x14ac:dyDescent="0.25">
      <c r="A447" s="2">
        <v>2446</v>
      </c>
      <c r="B447" s="2" t="s">
        <v>126</v>
      </c>
      <c r="C447" s="2" t="s">
        <v>46</v>
      </c>
      <c r="D447" s="2" t="s">
        <v>59</v>
      </c>
      <c r="E447" s="2" t="s">
        <v>40</v>
      </c>
      <c r="F447" s="2" t="s">
        <v>34</v>
      </c>
      <c r="G447" s="2" t="s">
        <v>35</v>
      </c>
      <c r="H447" s="2" t="s">
        <v>61</v>
      </c>
      <c r="I447" s="2">
        <v>4</v>
      </c>
      <c r="J447" s="2">
        <v>5670</v>
      </c>
      <c r="K447" s="2">
        <v>2482.46</v>
      </c>
      <c r="L447" s="2">
        <v>2268</v>
      </c>
      <c r="M447" s="2">
        <v>437</v>
      </c>
      <c r="N447" s="2">
        <v>22902.54</v>
      </c>
      <c r="O447" s="2" t="s">
        <v>43</v>
      </c>
      <c r="P447" s="2">
        <v>4660</v>
      </c>
      <c r="Q447" s="2" t="s">
        <v>63</v>
      </c>
      <c r="R447" s="2" t="s">
        <v>29</v>
      </c>
      <c r="S447" s="2">
        <v>7</v>
      </c>
      <c r="T447" s="2">
        <v>3</v>
      </c>
      <c r="U447" s="2" t="str" cm="1">
        <f t="array" ref="U447">_xlfn.IFS(N447&gt;200000,"PEAK SALES",N447&gt;100000,"GOOD SALES",N447&gt;50000,"AVERAGE SALES",N447&lt;50000,"PROFIT",N447&lt;10000,"LOSS")</f>
        <v>PROFIT</v>
      </c>
      <c r="V447" s="2">
        <f t="shared" si="6"/>
        <v>3</v>
      </c>
    </row>
    <row r="448" spans="1:22" x14ac:dyDescent="0.25">
      <c r="A448" s="2">
        <v>2447</v>
      </c>
      <c r="B448" s="2" t="s">
        <v>162</v>
      </c>
      <c r="C448" s="2" t="s">
        <v>65</v>
      </c>
      <c r="D448" s="2" t="s">
        <v>22</v>
      </c>
      <c r="E448" s="2" t="s">
        <v>47</v>
      </c>
      <c r="F448" s="2" t="s">
        <v>24</v>
      </c>
      <c r="G448" s="2" t="s">
        <v>69</v>
      </c>
      <c r="H448" s="2" t="s">
        <v>26</v>
      </c>
      <c r="I448" s="2">
        <v>5</v>
      </c>
      <c r="J448" s="2">
        <v>11144</v>
      </c>
      <c r="K448" s="2">
        <v>6472.82</v>
      </c>
      <c r="L448" s="2">
        <v>5572</v>
      </c>
      <c r="M448" s="2">
        <v>223</v>
      </c>
      <c r="N448" s="2">
        <v>55042.18</v>
      </c>
      <c r="O448" s="2" t="s">
        <v>43</v>
      </c>
      <c r="P448" s="2">
        <v>7704</v>
      </c>
      <c r="Q448" s="2" t="s">
        <v>63</v>
      </c>
      <c r="R448" s="2" t="s">
        <v>44</v>
      </c>
      <c r="S448" s="2">
        <v>10</v>
      </c>
      <c r="T448" s="2">
        <v>2</v>
      </c>
      <c r="U448" s="2" t="str" cm="1">
        <f t="array" ref="U448">_xlfn.IFS(N448&gt;200000,"PEAK SALES",N448&gt;100000,"GOOD SALES",N448&gt;50000,"AVERAGE SALES",N448&lt;50000,"PROFIT",N448&lt;10000,"LOSS")</f>
        <v>AVERAGE SALES</v>
      </c>
      <c r="V448" s="2">
        <f t="shared" si="6"/>
        <v>4</v>
      </c>
    </row>
    <row r="449" spans="1:22" x14ac:dyDescent="0.25">
      <c r="A449" s="2">
        <v>2448</v>
      </c>
      <c r="B449" s="2" t="s">
        <v>175</v>
      </c>
      <c r="C449" s="2" t="s">
        <v>31</v>
      </c>
      <c r="D449" s="2" t="s">
        <v>32</v>
      </c>
      <c r="E449" s="2" t="s">
        <v>33</v>
      </c>
      <c r="F449" s="2" t="s">
        <v>48</v>
      </c>
      <c r="G449" s="2" t="s">
        <v>66</v>
      </c>
      <c r="H449" s="2" t="s">
        <v>26</v>
      </c>
      <c r="I449" s="2">
        <v>2</v>
      </c>
      <c r="J449" s="2">
        <v>36911</v>
      </c>
      <c r="K449" s="2">
        <v>6473.36</v>
      </c>
      <c r="L449" s="2">
        <v>7382.2</v>
      </c>
      <c r="M449" s="2">
        <v>481</v>
      </c>
      <c r="N449" s="2">
        <v>75211.839999999997</v>
      </c>
      <c r="O449" s="2" t="s">
        <v>50</v>
      </c>
      <c r="P449" s="2">
        <v>15245</v>
      </c>
      <c r="Q449" s="2" t="s">
        <v>52</v>
      </c>
      <c r="R449" s="2" t="s">
        <v>37</v>
      </c>
      <c r="S449" s="2">
        <v>5</v>
      </c>
      <c r="T449" s="2">
        <v>4</v>
      </c>
      <c r="U449" s="2" t="str" cm="1">
        <f t="array" ref="U449">_xlfn.IFS(N449&gt;200000,"PEAK SALES",N449&gt;100000,"GOOD SALES",N449&gt;50000,"AVERAGE SALES",N449&lt;50000,"PROFIT",N449&lt;10000,"LOSS")</f>
        <v>AVERAGE SALES</v>
      </c>
      <c r="V449" s="2">
        <f t="shared" si="6"/>
        <v>2</v>
      </c>
    </row>
    <row r="450" spans="1:22" x14ac:dyDescent="0.25">
      <c r="A450" s="2">
        <v>2449</v>
      </c>
      <c r="B450" s="2" t="s">
        <v>121</v>
      </c>
      <c r="C450" s="2" t="s">
        <v>72</v>
      </c>
      <c r="D450" s="2" t="s">
        <v>73</v>
      </c>
      <c r="E450" s="2" t="s">
        <v>40</v>
      </c>
      <c r="F450" s="2" t="s">
        <v>24</v>
      </c>
      <c r="G450" s="2" t="s">
        <v>25</v>
      </c>
      <c r="H450" s="2" t="s">
        <v>26</v>
      </c>
      <c r="I450" s="2">
        <v>5</v>
      </c>
      <c r="J450" s="2">
        <v>13209</v>
      </c>
      <c r="K450" s="2">
        <v>6607.32</v>
      </c>
      <c r="L450" s="2">
        <v>6604.5</v>
      </c>
      <c r="M450" s="2">
        <v>233</v>
      </c>
      <c r="N450" s="2">
        <v>66275.179999999993</v>
      </c>
      <c r="O450" s="2" t="s">
        <v>43</v>
      </c>
      <c r="P450" s="2">
        <v>12713</v>
      </c>
      <c r="Q450" s="2" t="s">
        <v>63</v>
      </c>
      <c r="R450" s="2" t="s">
        <v>44</v>
      </c>
      <c r="S450" s="2">
        <v>7</v>
      </c>
      <c r="T450" s="2">
        <v>5</v>
      </c>
      <c r="U450" s="2" t="str" cm="1">
        <f t="array" ref="U450">_xlfn.IFS(N450&gt;200000,"PEAK SALES",N450&gt;100000,"GOOD SALES",N450&gt;50000,"AVERAGE SALES",N450&lt;50000,"PROFIT",N450&lt;10000,"LOSS")</f>
        <v>AVERAGE SALES</v>
      </c>
      <c r="V450" s="2">
        <f t="shared" si="6"/>
        <v>3</v>
      </c>
    </row>
    <row r="451" spans="1:22" x14ac:dyDescent="0.25">
      <c r="A451" s="2">
        <v>2450</v>
      </c>
      <c r="B451" s="2" t="s">
        <v>161</v>
      </c>
      <c r="C451" s="2" t="s">
        <v>75</v>
      </c>
      <c r="D451" s="2" t="s">
        <v>73</v>
      </c>
      <c r="E451" s="2" t="s">
        <v>56</v>
      </c>
      <c r="F451" s="2" t="s">
        <v>48</v>
      </c>
      <c r="G451" s="2" t="s">
        <v>66</v>
      </c>
      <c r="H451" s="2" t="s">
        <v>26</v>
      </c>
      <c r="I451" s="2">
        <v>2</v>
      </c>
      <c r="J451" s="2">
        <v>59032</v>
      </c>
      <c r="K451" s="2">
        <v>9865.9699999999993</v>
      </c>
      <c r="L451" s="2">
        <v>11806.4</v>
      </c>
      <c r="M451" s="2">
        <v>73</v>
      </c>
      <c r="N451" s="2">
        <v>120077.43</v>
      </c>
      <c r="O451" s="2" t="s">
        <v>50</v>
      </c>
      <c r="P451" s="2">
        <v>28752</v>
      </c>
      <c r="Q451" s="2" t="s">
        <v>28</v>
      </c>
      <c r="R451" s="2" t="s">
        <v>37</v>
      </c>
      <c r="S451" s="2">
        <v>10</v>
      </c>
      <c r="T451" s="2">
        <v>2</v>
      </c>
      <c r="U451" s="2" t="str" cm="1">
        <f t="array" ref="U451">_xlfn.IFS(N451&gt;200000,"PEAK SALES",N451&gt;100000,"GOOD SALES",N451&gt;50000,"AVERAGE SALES",N451&lt;50000,"PROFIT",N451&lt;10000,"LOSS")</f>
        <v>GOOD SALES</v>
      </c>
      <c r="V451" s="2">
        <f t="shared" ref="V451:V501" si="7">MONTH(B451)</f>
        <v>2</v>
      </c>
    </row>
    <row r="452" spans="1:22" x14ac:dyDescent="0.25">
      <c r="A452" s="2">
        <v>2451</v>
      </c>
      <c r="B452" s="2" t="s">
        <v>90</v>
      </c>
      <c r="C452" s="2" t="s">
        <v>75</v>
      </c>
      <c r="D452" s="2" t="s">
        <v>32</v>
      </c>
      <c r="E452" s="2" t="s">
        <v>79</v>
      </c>
      <c r="F452" s="2" t="s">
        <v>34</v>
      </c>
      <c r="G452" s="2" t="s">
        <v>41</v>
      </c>
      <c r="H452" s="2" t="s">
        <v>26</v>
      </c>
      <c r="I452" s="2">
        <v>3</v>
      </c>
      <c r="J452" s="2">
        <v>58926</v>
      </c>
      <c r="K452" s="2">
        <v>31978.03</v>
      </c>
      <c r="L452" s="2">
        <v>17677.8</v>
      </c>
      <c r="M452" s="2">
        <v>210</v>
      </c>
      <c r="N452" s="2">
        <v>162687.76999999999</v>
      </c>
      <c r="O452" s="2" t="s">
        <v>62</v>
      </c>
      <c r="P452" s="2">
        <v>47840</v>
      </c>
      <c r="Q452" s="2" t="s">
        <v>63</v>
      </c>
      <c r="R452" s="2" t="s">
        <v>44</v>
      </c>
      <c r="S452" s="2">
        <v>2</v>
      </c>
      <c r="T452" s="2">
        <v>3</v>
      </c>
      <c r="U452" s="2" t="str" cm="1">
        <f t="array" ref="U452">_xlfn.IFS(N452&gt;200000,"PEAK SALES",N452&gt;100000,"GOOD SALES",N452&gt;50000,"AVERAGE SALES",N452&lt;50000,"PROFIT",N452&lt;10000,"LOSS")</f>
        <v>GOOD SALES</v>
      </c>
      <c r="V452" s="2">
        <f t="shared" si="7"/>
        <v>2</v>
      </c>
    </row>
    <row r="453" spans="1:22" x14ac:dyDescent="0.25">
      <c r="A453" s="2">
        <v>2452</v>
      </c>
      <c r="B453" s="2" t="s">
        <v>145</v>
      </c>
      <c r="C453" s="2" t="s">
        <v>72</v>
      </c>
      <c r="D453" s="2" t="s">
        <v>59</v>
      </c>
      <c r="E453" s="2" t="s">
        <v>103</v>
      </c>
      <c r="F453" s="2" t="s">
        <v>24</v>
      </c>
      <c r="G453" s="2" t="s">
        <v>69</v>
      </c>
      <c r="H453" s="2" t="s">
        <v>26</v>
      </c>
      <c r="I453" s="2">
        <v>2</v>
      </c>
      <c r="J453" s="2">
        <v>55961</v>
      </c>
      <c r="K453" s="2">
        <v>9526.16</v>
      </c>
      <c r="L453" s="2">
        <v>11192.2</v>
      </c>
      <c r="M453" s="2">
        <v>407</v>
      </c>
      <c r="N453" s="2">
        <v>113995.04</v>
      </c>
      <c r="O453" s="2" t="s">
        <v>62</v>
      </c>
      <c r="P453" s="2">
        <v>27719</v>
      </c>
      <c r="Q453" s="2" t="s">
        <v>52</v>
      </c>
      <c r="R453" s="2" t="s">
        <v>44</v>
      </c>
      <c r="S453" s="2">
        <v>9</v>
      </c>
      <c r="T453" s="2">
        <v>2</v>
      </c>
      <c r="U453" s="2" t="str" cm="1">
        <f t="array" ref="U453">_xlfn.IFS(N453&gt;200000,"PEAK SALES",N453&gt;100000,"GOOD SALES",N453&gt;50000,"AVERAGE SALES",N453&lt;50000,"PROFIT",N453&lt;10000,"LOSS")</f>
        <v>GOOD SALES</v>
      </c>
      <c r="V453" s="2">
        <f t="shared" si="7"/>
        <v>4</v>
      </c>
    </row>
    <row r="454" spans="1:22" x14ac:dyDescent="0.25">
      <c r="A454" s="2">
        <v>2453</v>
      </c>
      <c r="B454" s="2" t="s">
        <v>170</v>
      </c>
      <c r="C454" s="2" t="s">
        <v>39</v>
      </c>
      <c r="D454" s="2" t="s">
        <v>22</v>
      </c>
      <c r="E454" s="2" t="s">
        <v>47</v>
      </c>
      <c r="F454" s="2" t="s">
        <v>24</v>
      </c>
      <c r="G454" s="2" t="s">
        <v>25</v>
      </c>
      <c r="H454" s="2" t="s">
        <v>61</v>
      </c>
      <c r="I454" s="2">
        <v>2</v>
      </c>
      <c r="J454" s="2">
        <v>5186</v>
      </c>
      <c r="K454" s="2">
        <v>1687.28</v>
      </c>
      <c r="L454" s="2">
        <v>1037.2</v>
      </c>
      <c r="M454" s="2">
        <v>299</v>
      </c>
      <c r="N454" s="2">
        <v>10020.92</v>
      </c>
      <c r="O454" s="2" t="s">
        <v>50</v>
      </c>
      <c r="P454" s="2">
        <v>2618</v>
      </c>
      <c r="Q454" s="2" t="s">
        <v>28</v>
      </c>
      <c r="R454" s="2" t="s">
        <v>44</v>
      </c>
      <c r="S454" s="2">
        <v>1</v>
      </c>
      <c r="T454" s="2">
        <v>4</v>
      </c>
      <c r="U454" s="2" t="str" cm="1">
        <f t="array" ref="U454">_xlfn.IFS(N454&gt;200000,"PEAK SALES",N454&gt;100000,"GOOD SALES",N454&gt;50000,"AVERAGE SALES",N454&lt;50000,"PROFIT",N454&lt;10000,"LOSS")</f>
        <v>PROFIT</v>
      </c>
      <c r="V454" s="2">
        <f t="shared" si="7"/>
        <v>1</v>
      </c>
    </row>
    <row r="455" spans="1:22" x14ac:dyDescent="0.25">
      <c r="A455" s="2">
        <v>2454</v>
      </c>
      <c r="B455" s="2" t="s">
        <v>120</v>
      </c>
      <c r="C455" s="2" t="s">
        <v>68</v>
      </c>
      <c r="D455" s="2" t="s">
        <v>22</v>
      </c>
      <c r="E455" s="2" t="s">
        <v>23</v>
      </c>
      <c r="F455" s="2" t="s">
        <v>24</v>
      </c>
      <c r="G455" s="2" t="s">
        <v>94</v>
      </c>
      <c r="H455" s="2" t="s">
        <v>26</v>
      </c>
      <c r="I455" s="2">
        <v>3</v>
      </c>
      <c r="J455" s="2">
        <v>17923</v>
      </c>
      <c r="K455" s="2">
        <v>5916.92</v>
      </c>
      <c r="L455" s="2">
        <v>5376.9</v>
      </c>
      <c r="M455" s="2">
        <v>176</v>
      </c>
      <c r="N455" s="2">
        <v>53404.98</v>
      </c>
      <c r="O455" s="2" t="s">
        <v>43</v>
      </c>
      <c r="P455" s="2">
        <v>11912</v>
      </c>
      <c r="Q455" s="2" t="s">
        <v>52</v>
      </c>
      <c r="R455" s="2" t="s">
        <v>44</v>
      </c>
      <c r="S455" s="2">
        <v>6</v>
      </c>
      <c r="T455" s="2">
        <v>3</v>
      </c>
      <c r="U455" s="2" t="str" cm="1">
        <f t="array" ref="U455">_xlfn.IFS(N455&gt;200000,"PEAK SALES",N455&gt;100000,"GOOD SALES",N455&gt;50000,"AVERAGE SALES",N455&lt;50000,"PROFIT",N455&lt;10000,"LOSS")</f>
        <v>AVERAGE SALES</v>
      </c>
      <c r="V455" s="2">
        <f t="shared" si="7"/>
        <v>4</v>
      </c>
    </row>
    <row r="456" spans="1:22" x14ac:dyDescent="0.25">
      <c r="A456" s="2">
        <v>2455</v>
      </c>
      <c r="B456" s="2" t="s">
        <v>20</v>
      </c>
      <c r="C456" s="2" t="s">
        <v>68</v>
      </c>
      <c r="D456" s="2" t="s">
        <v>22</v>
      </c>
      <c r="E456" s="2" t="s">
        <v>56</v>
      </c>
      <c r="F456" s="2" t="s">
        <v>34</v>
      </c>
      <c r="G456" s="2" t="s">
        <v>60</v>
      </c>
      <c r="H456" s="2" t="s">
        <v>36</v>
      </c>
      <c r="I456" s="2">
        <v>4</v>
      </c>
      <c r="J456" s="2">
        <v>29734</v>
      </c>
      <c r="K456" s="2">
        <v>9738.27</v>
      </c>
      <c r="L456" s="2">
        <v>11893.6</v>
      </c>
      <c r="M456" s="2">
        <v>122</v>
      </c>
      <c r="N456" s="2">
        <v>121213.33</v>
      </c>
      <c r="O456" s="2" t="s">
        <v>50</v>
      </c>
      <c r="P456" s="2">
        <v>16686</v>
      </c>
      <c r="Q456" s="2" t="s">
        <v>28</v>
      </c>
      <c r="R456" s="2" t="s">
        <v>44</v>
      </c>
      <c r="S456" s="2">
        <v>9</v>
      </c>
      <c r="T456" s="2">
        <v>4</v>
      </c>
      <c r="U456" s="2" t="str" cm="1">
        <f t="array" ref="U456">_xlfn.IFS(N456&gt;200000,"PEAK SALES",N456&gt;100000,"GOOD SALES",N456&gt;50000,"AVERAGE SALES",N456&lt;50000,"PROFIT",N456&lt;10000,"LOSS")</f>
        <v>GOOD SALES</v>
      </c>
      <c r="V456" s="2">
        <f t="shared" si="7"/>
        <v>3</v>
      </c>
    </row>
    <row r="457" spans="1:22" x14ac:dyDescent="0.25">
      <c r="A457" s="2">
        <v>2456</v>
      </c>
      <c r="B457" s="2" t="s">
        <v>111</v>
      </c>
      <c r="C457" s="2" t="s">
        <v>21</v>
      </c>
      <c r="D457" s="2" t="s">
        <v>59</v>
      </c>
      <c r="E457" s="2" t="s">
        <v>79</v>
      </c>
      <c r="F457" s="2" t="s">
        <v>24</v>
      </c>
      <c r="G457" s="2" t="s">
        <v>69</v>
      </c>
      <c r="H457" s="2" t="s">
        <v>26</v>
      </c>
      <c r="I457" s="2">
        <v>3</v>
      </c>
      <c r="J457" s="2">
        <v>58631</v>
      </c>
      <c r="K457" s="2">
        <v>17818.47</v>
      </c>
      <c r="L457" s="2">
        <v>17589.3</v>
      </c>
      <c r="M457" s="2">
        <v>288</v>
      </c>
      <c r="N457" s="2">
        <v>175951.83</v>
      </c>
      <c r="O457" s="2" t="s">
        <v>62</v>
      </c>
      <c r="P457" s="2">
        <v>44862</v>
      </c>
      <c r="Q457" s="2" t="s">
        <v>63</v>
      </c>
      <c r="R457" s="2" t="s">
        <v>37</v>
      </c>
      <c r="S457" s="2">
        <v>7</v>
      </c>
      <c r="T457" s="2">
        <v>3</v>
      </c>
      <c r="U457" s="2" t="str" cm="1">
        <f t="array" ref="U457">_xlfn.IFS(N457&gt;200000,"PEAK SALES",N457&gt;100000,"GOOD SALES",N457&gt;50000,"AVERAGE SALES",N457&lt;50000,"PROFIT",N457&lt;10000,"LOSS")</f>
        <v>GOOD SALES</v>
      </c>
      <c r="V457" s="2">
        <f t="shared" si="7"/>
        <v>4</v>
      </c>
    </row>
    <row r="458" spans="1:22" x14ac:dyDescent="0.25">
      <c r="A458" s="2">
        <v>2457</v>
      </c>
      <c r="B458" s="2" t="s">
        <v>157</v>
      </c>
      <c r="C458" s="2" t="s">
        <v>39</v>
      </c>
      <c r="D458" s="2" t="s">
        <v>32</v>
      </c>
      <c r="E458" s="2" t="s">
        <v>23</v>
      </c>
      <c r="F458" s="2" t="s">
        <v>34</v>
      </c>
      <c r="G458" s="2" t="s">
        <v>80</v>
      </c>
      <c r="H458" s="2" t="s">
        <v>36</v>
      </c>
      <c r="I458" s="2">
        <v>1</v>
      </c>
      <c r="J458" s="2">
        <v>51000</v>
      </c>
      <c r="K458" s="2">
        <v>9333.36</v>
      </c>
      <c r="L458" s="2">
        <v>5100</v>
      </c>
      <c r="M458" s="2">
        <v>450</v>
      </c>
      <c r="N458" s="2">
        <v>47216.639999999999</v>
      </c>
      <c r="O458" s="2" t="s">
        <v>50</v>
      </c>
      <c r="P458" s="2">
        <v>6928</v>
      </c>
      <c r="Q458" s="2" t="s">
        <v>28</v>
      </c>
      <c r="R458" s="2" t="s">
        <v>29</v>
      </c>
      <c r="S458" s="2">
        <v>3</v>
      </c>
      <c r="T458" s="2">
        <v>4</v>
      </c>
      <c r="U458" s="2" t="str" cm="1">
        <f t="array" ref="U458">_xlfn.IFS(N458&gt;200000,"PEAK SALES",N458&gt;100000,"GOOD SALES",N458&gt;50000,"AVERAGE SALES",N458&lt;50000,"PROFIT",N458&lt;10000,"LOSS")</f>
        <v>PROFIT</v>
      </c>
      <c r="V458" s="2">
        <f t="shared" si="7"/>
        <v>3</v>
      </c>
    </row>
    <row r="459" spans="1:22" x14ac:dyDescent="0.25">
      <c r="A459" s="2">
        <v>2458</v>
      </c>
      <c r="B459" s="2" t="s">
        <v>100</v>
      </c>
      <c r="C459" s="2" t="s">
        <v>46</v>
      </c>
      <c r="D459" s="2" t="s">
        <v>22</v>
      </c>
      <c r="E459" s="2" t="s">
        <v>47</v>
      </c>
      <c r="F459" s="2" t="s">
        <v>24</v>
      </c>
      <c r="G459" s="2" t="s">
        <v>69</v>
      </c>
      <c r="H459" s="2" t="s">
        <v>26</v>
      </c>
      <c r="I459" s="2">
        <v>4</v>
      </c>
      <c r="J459" s="2">
        <v>21158</v>
      </c>
      <c r="K459" s="2">
        <v>12640.92</v>
      </c>
      <c r="L459" s="2">
        <v>8463.2000000000007</v>
      </c>
      <c r="M459" s="2">
        <v>115</v>
      </c>
      <c r="N459" s="2">
        <v>80569.279999999999</v>
      </c>
      <c r="O459" s="2" t="s">
        <v>27</v>
      </c>
      <c r="P459" s="2">
        <v>15848</v>
      </c>
      <c r="Q459" s="2" t="s">
        <v>63</v>
      </c>
      <c r="R459" s="2" t="s">
        <v>29</v>
      </c>
      <c r="S459" s="2">
        <v>5</v>
      </c>
      <c r="T459" s="2">
        <v>4</v>
      </c>
      <c r="U459" s="2" t="str" cm="1">
        <f t="array" ref="U459">_xlfn.IFS(N459&gt;200000,"PEAK SALES",N459&gt;100000,"GOOD SALES",N459&gt;50000,"AVERAGE SALES",N459&lt;50000,"PROFIT",N459&lt;10000,"LOSS")</f>
        <v>AVERAGE SALES</v>
      </c>
      <c r="V459" s="2">
        <f t="shared" si="7"/>
        <v>2</v>
      </c>
    </row>
    <row r="460" spans="1:22" x14ac:dyDescent="0.25">
      <c r="A460" s="2">
        <v>2459</v>
      </c>
      <c r="B460" s="2" t="s">
        <v>143</v>
      </c>
      <c r="C460" s="2" t="s">
        <v>58</v>
      </c>
      <c r="D460" s="2" t="s">
        <v>59</v>
      </c>
      <c r="E460" s="2" t="s">
        <v>56</v>
      </c>
      <c r="F460" s="2" t="s">
        <v>48</v>
      </c>
      <c r="G460" s="2" t="s">
        <v>66</v>
      </c>
      <c r="H460" s="2" t="s">
        <v>26</v>
      </c>
      <c r="I460" s="2">
        <v>3</v>
      </c>
      <c r="J460" s="2">
        <v>17891</v>
      </c>
      <c r="K460" s="2">
        <v>6104.71</v>
      </c>
      <c r="L460" s="2">
        <v>5367.3</v>
      </c>
      <c r="M460" s="2">
        <v>377</v>
      </c>
      <c r="N460" s="2">
        <v>53312.59</v>
      </c>
      <c r="O460" s="2" t="s">
        <v>43</v>
      </c>
      <c r="P460" s="2">
        <v>11994</v>
      </c>
      <c r="Q460" s="2" t="s">
        <v>52</v>
      </c>
      <c r="R460" s="2" t="s">
        <v>44</v>
      </c>
      <c r="S460" s="2">
        <v>3</v>
      </c>
      <c r="T460" s="2">
        <v>1</v>
      </c>
      <c r="U460" s="2" t="str" cm="1">
        <f t="array" ref="U460">_xlfn.IFS(N460&gt;200000,"PEAK SALES",N460&gt;100000,"GOOD SALES",N460&gt;50000,"AVERAGE SALES",N460&lt;50000,"PROFIT",N460&lt;10000,"LOSS")</f>
        <v>AVERAGE SALES</v>
      </c>
      <c r="V460" s="2">
        <f t="shared" si="7"/>
        <v>2</v>
      </c>
    </row>
    <row r="461" spans="1:22" x14ac:dyDescent="0.25">
      <c r="A461" s="2">
        <v>2460</v>
      </c>
      <c r="B461" s="2" t="s">
        <v>163</v>
      </c>
      <c r="C461" s="2" t="s">
        <v>75</v>
      </c>
      <c r="D461" s="2" t="s">
        <v>32</v>
      </c>
      <c r="E461" s="2" t="s">
        <v>79</v>
      </c>
      <c r="F461" s="2" t="s">
        <v>34</v>
      </c>
      <c r="G461" s="2" t="s">
        <v>41</v>
      </c>
      <c r="H461" s="2" t="s">
        <v>36</v>
      </c>
      <c r="I461" s="2">
        <v>2</v>
      </c>
      <c r="J461" s="2">
        <v>6823</v>
      </c>
      <c r="K461" s="2">
        <v>1022.68</v>
      </c>
      <c r="L461" s="2">
        <v>1364.6</v>
      </c>
      <c r="M461" s="2">
        <v>71</v>
      </c>
      <c r="N461" s="2">
        <v>14058.92</v>
      </c>
      <c r="O461" s="2" t="s">
        <v>43</v>
      </c>
      <c r="P461" s="2">
        <v>1786</v>
      </c>
      <c r="Q461" s="2" t="s">
        <v>63</v>
      </c>
      <c r="R461" s="2" t="s">
        <v>37</v>
      </c>
      <c r="S461" s="2">
        <v>4</v>
      </c>
      <c r="T461" s="2">
        <v>1</v>
      </c>
      <c r="U461" s="2" t="str" cm="1">
        <f t="array" ref="U461">_xlfn.IFS(N461&gt;200000,"PEAK SALES",N461&gt;100000,"GOOD SALES",N461&gt;50000,"AVERAGE SALES",N461&lt;50000,"PROFIT",N461&lt;10000,"LOSS")</f>
        <v>PROFIT</v>
      </c>
      <c r="V461" s="2">
        <f t="shared" si="7"/>
        <v>2</v>
      </c>
    </row>
    <row r="462" spans="1:22" x14ac:dyDescent="0.25">
      <c r="A462" s="2">
        <v>2461</v>
      </c>
      <c r="B462" s="2" t="s">
        <v>155</v>
      </c>
      <c r="C462" s="2" t="s">
        <v>87</v>
      </c>
      <c r="D462" s="2" t="s">
        <v>32</v>
      </c>
      <c r="E462" s="2" t="s">
        <v>79</v>
      </c>
      <c r="F462" s="2" t="s">
        <v>34</v>
      </c>
      <c r="G462" s="2" t="s">
        <v>41</v>
      </c>
      <c r="H462" s="2" t="s">
        <v>36</v>
      </c>
      <c r="I462" s="2">
        <v>2</v>
      </c>
      <c r="J462" s="2">
        <v>5557</v>
      </c>
      <c r="K462" s="2">
        <v>1638.92</v>
      </c>
      <c r="L462" s="2">
        <v>1111.4000000000001</v>
      </c>
      <c r="M462" s="2">
        <v>475</v>
      </c>
      <c r="N462" s="2">
        <v>11061.48</v>
      </c>
      <c r="O462" s="2" t="s">
        <v>62</v>
      </c>
      <c r="P462" s="2">
        <v>1243</v>
      </c>
      <c r="Q462" s="2" t="s">
        <v>63</v>
      </c>
      <c r="R462" s="2" t="s">
        <v>37</v>
      </c>
      <c r="S462" s="2">
        <v>4</v>
      </c>
      <c r="T462" s="2">
        <v>5</v>
      </c>
      <c r="U462" s="2" t="str" cm="1">
        <f t="array" ref="U462">_xlfn.IFS(N462&gt;200000,"PEAK SALES",N462&gt;100000,"GOOD SALES",N462&gt;50000,"AVERAGE SALES",N462&lt;50000,"PROFIT",N462&lt;10000,"LOSS")</f>
        <v>PROFIT</v>
      </c>
      <c r="V462" s="2">
        <f t="shared" si="7"/>
        <v>1</v>
      </c>
    </row>
    <row r="463" spans="1:22" x14ac:dyDescent="0.25">
      <c r="A463" s="2">
        <v>2462</v>
      </c>
      <c r="B463" s="2" t="s">
        <v>78</v>
      </c>
      <c r="C463" s="2" t="s">
        <v>21</v>
      </c>
      <c r="D463" s="2" t="s">
        <v>59</v>
      </c>
      <c r="E463" s="2" t="s">
        <v>33</v>
      </c>
      <c r="F463" s="2" t="s">
        <v>24</v>
      </c>
      <c r="G463" s="2" t="s">
        <v>69</v>
      </c>
      <c r="H463" s="2" t="s">
        <v>42</v>
      </c>
      <c r="I463" s="2">
        <v>5</v>
      </c>
      <c r="J463" s="2">
        <v>8621</v>
      </c>
      <c r="K463" s="2">
        <v>5318.53</v>
      </c>
      <c r="L463" s="2">
        <v>4310.5</v>
      </c>
      <c r="M463" s="2">
        <v>194</v>
      </c>
      <c r="N463" s="2">
        <v>42290.97</v>
      </c>
      <c r="O463" s="2" t="s">
        <v>62</v>
      </c>
      <c r="P463" s="2">
        <v>8441</v>
      </c>
      <c r="Q463" s="2" t="s">
        <v>52</v>
      </c>
      <c r="R463" s="2" t="s">
        <v>29</v>
      </c>
      <c r="S463" s="2">
        <v>1</v>
      </c>
      <c r="T463" s="2">
        <v>3</v>
      </c>
      <c r="U463" s="2" t="str" cm="1">
        <f t="array" ref="U463">_xlfn.IFS(N463&gt;200000,"PEAK SALES",N463&gt;100000,"GOOD SALES",N463&gt;50000,"AVERAGE SALES",N463&lt;50000,"PROFIT",N463&lt;10000,"LOSS")</f>
        <v>PROFIT</v>
      </c>
      <c r="V463" s="2">
        <f t="shared" si="7"/>
        <v>3</v>
      </c>
    </row>
    <row r="464" spans="1:22" x14ac:dyDescent="0.25">
      <c r="A464" s="2">
        <v>2463</v>
      </c>
      <c r="B464" s="2" t="s">
        <v>107</v>
      </c>
      <c r="C464" s="2" t="s">
        <v>31</v>
      </c>
      <c r="D464" s="2" t="s">
        <v>73</v>
      </c>
      <c r="E464" s="2" t="s">
        <v>47</v>
      </c>
      <c r="F464" s="2" t="s">
        <v>24</v>
      </c>
      <c r="G464" s="2" t="s">
        <v>94</v>
      </c>
      <c r="H464" s="2" t="s">
        <v>36</v>
      </c>
      <c r="I464" s="2">
        <v>2</v>
      </c>
      <c r="J464" s="2">
        <v>58306</v>
      </c>
      <c r="K464" s="2">
        <v>17979.05</v>
      </c>
      <c r="L464" s="2">
        <v>11661.2</v>
      </c>
      <c r="M464" s="2">
        <v>305</v>
      </c>
      <c r="N464" s="2">
        <v>110599.15</v>
      </c>
      <c r="O464" s="2" t="s">
        <v>43</v>
      </c>
      <c r="P464" s="2">
        <v>19220</v>
      </c>
      <c r="Q464" s="2" t="s">
        <v>63</v>
      </c>
      <c r="R464" s="2" t="s">
        <v>44</v>
      </c>
      <c r="S464" s="2">
        <v>8</v>
      </c>
      <c r="T464" s="2">
        <v>5</v>
      </c>
      <c r="U464" s="2" t="str" cm="1">
        <f t="array" ref="U464">_xlfn.IFS(N464&gt;200000,"PEAK SALES",N464&gt;100000,"GOOD SALES",N464&gt;50000,"AVERAGE SALES",N464&lt;50000,"PROFIT",N464&lt;10000,"LOSS")</f>
        <v>GOOD SALES</v>
      </c>
      <c r="V464" s="2">
        <f t="shared" si="7"/>
        <v>1</v>
      </c>
    </row>
    <row r="465" spans="1:22" x14ac:dyDescent="0.25">
      <c r="A465" s="2">
        <v>2464</v>
      </c>
      <c r="B465" s="2" t="s">
        <v>153</v>
      </c>
      <c r="C465" s="2" t="s">
        <v>39</v>
      </c>
      <c r="D465" s="2" t="s">
        <v>22</v>
      </c>
      <c r="E465" s="2" t="s">
        <v>79</v>
      </c>
      <c r="F465" s="2" t="s">
        <v>34</v>
      </c>
      <c r="G465" s="2" t="s">
        <v>35</v>
      </c>
      <c r="H465" s="2" t="s">
        <v>36</v>
      </c>
      <c r="I465" s="2">
        <v>1</v>
      </c>
      <c r="J465" s="2">
        <v>49954</v>
      </c>
      <c r="K465" s="2">
        <v>7125.96</v>
      </c>
      <c r="L465" s="2">
        <v>4995.3999999999996</v>
      </c>
      <c r="M465" s="2">
        <v>305</v>
      </c>
      <c r="N465" s="2">
        <v>48128.44</v>
      </c>
      <c r="O465" s="2" t="s">
        <v>62</v>
      </c>
      <c r="P465" s="2">
        <v>12357</v>
      </c>
      <c r="Q465" s="2" t="s">
        <v>28</v>
      </c>
      <c r="R465" s="2" t="s">
        <v>29</v>
      </c>
      <c r="S465" s="2">
        <v>6</v>
      </c>
      <c r="T465" s="2">
        <v>1</v>
      </c>
      <c r="U465" s="2" t="str" cm="1">
        <f t="array" ref="U465">_xlfn.IFS(N465&gt;200000,"PEAK SALES",N465&gt;100000,"GOOD SALES",N465&gt;50000,"AVERAGE SALES",N465&lt;50000,"PROFIT",N465&lt;10000,"LOSS")</f>
        <v>PROFIT</v>
      </c>
      <c r="V465" s="2">
        <f t="shared" si="7"/>
        <v>2</v>
      </c>
    </row>
    <row r="466" spans="1:22" x14ac:dyDescent="0.25">
      <c r="A466" s="2">
        <v>2465</v>
      </c>
      <c r="B466" s="2" t="s">
        <v>143</v>
      </c>
      <c r="C466" s="2" t="s">
        <v>65</v>
      </c>
      <c r="D466" s="2" t="s">
        <v>32</v>
      </c>
      <c r="E466" s="2" t="s">
        <v>40</v>
      </c>
      <c r="F466" s="2" t="s">
        <v>24</v>
      </c>
      <c r="G466" s="2" t="s">
        <v>69</v>
      </c>
      <c r="H466" s="2" t="s">
        <v>26</v>
      </c>
      <c r="I466" s="2">
        <v>5</v>
      </c>
      <c r="J466" s="2">
        <v>50170</v>
      </c>
      <c r="K466" s="2">
        <v>34708.589999999997</v>
      </c>
      <c r="L466" s="2">
        <v>25085</v>
      </c>
      <c r="M466" s="2">
        <v>355</v>
      </c>
      <c r="N466" s="2">
        <v>241581.41</v>
      </c>
      <c r="O466" s="2" t="s">
        <v>62</v>
      </c>
      <c r="P466" s="2">
        <v>49389</v>
      </c>
      <c r="Q466" s="2" t="s">
        <v>28</v>
      </c>
      <c r="R466" s="2" t="s">
        <v>37</v>
      </c>
      <c r="S466" s="2">
        <v>5</v>
      </c>
      <c r="T466" s="2">
        <v>2</v>
      </c>
      <c r="U466" s="2" t="str" cm="1">
        <f t="array" ref="U466">_xlfn.IFS(N466&gt;200000,"PEAK SALES",N466&gt;100000,"GOOD SALES",N466&gt;50000,"AVERAGE SALES",N466&lt;50000,"PROFIT",N466&lt;10000,"LOSS")</f>
        <v>PEAK SALES</v>
      </c>
      <c r="V466" s="2">
        <f t="shared" si="7"/>
        <v>2</v>
      </c>
    </row>
    <row r="467" spans="1:22" x14ac:dyDescent="0.25">
      <c r="A467" s="2">
        <v>2466</v>
      </c>
      <c r="B467" s="2" t="s">
        <v>102</v>
      </c>
      <c r="C467" s="2" t="s">
        <v>46</v>
      </c>
      <c r="D467" s="2" t="s">
        <v>59</v>
      </c>
      <c r="E467" s="2" t="s">
        <v>33</v>
      </c>
      <c r="F467" s="2" t="s">
        <v>34</v>
      </c>
      <c r="G467" s="2" t="s">
        <v>60</v>
      </c>
      <c r="H467" s="2" t="s">
        <v>61</v>
      </c>
      <c r="I467" s="2">
        <v>1</v>
      </c>
      <c r="J467" s="2">
        <v>57755</v>
      </c>
      <c r="K467" s="2">
        <v>3149.57</v>
      </c>
      <c r="L467" s="2">
        <v>5775.5</v>
      </c>
      <c r="M467" s="2">
        <v>441</v>
      </c>
      <c r="N467" s="2">
        <v>60821.93</v>
      </c>
      <c r="O467" s="2" t="s">
        <v>62</v>
      </c>
      <c r="P467" s="2">
        <v>18100</v>
      </c>
      <c r="Q467" s="2" t="s">
        <v>63</v>
      </c>
      <c r="R467" s="2" t="s">
        <v>44</v>
      </c>
      <c r="S467" s="2">
        <v>2</v>
      </c>
      <c r="T467" s="2">
        <v>5</v>
      </c>
      <c r="U467" s="2" t="str" cm="1">
        <f t="array" ref="U467">_xlfn.IFS(N467&gt;200000,"PEAK SALES",N467&gt;100000,"GOOD SALES",N467&gt;50000,"AVERAGE SALES",N467&lt;50000,"PROFIT",N467&lt;10000,"LOSS")</f>
        <v>AVERAGE SALES</v>
      </c>
      <c r="V467" s="2">
        <f t="shared" si="7"/>
        <v>3</v>
      </c>
    </row>
    <row r="468" spans="1:22" x14ac:dyDescent="0.25">
      <c r="A468" s="2">
        <v>2467</v>
      </c>
      <c r="B468" s="2" t="s">
        <v>154</v>
      </c>
      <c r="C468" s="2" t="s">
        <v>58</v>
      </c>
      <c r="D468" s="2" t="s">
        <v>32</v>
      </c>
      <c r="E468" s="2" t="s">
        <v>103</v>
      </c>
      <c r="F468" s="2" t="s">
        <v>48</v>
      </c>
      <c r="G468" s="2" t="s">
        <v>77</v>
      </c>
      <c r="H468" s="2" t="s">
        <v>36</v>
      </c>
      <c r="I468" s="2">
        <v>2</v>
      </c>
      <c r="J468" s="2">
        <v>27116</v>
      </c>
      <c r="K468" s="2">
        <v>6677.1</v>
      </c>
      <c r="L468" s="2">
        <v>5423.2</v>
      </c>
      <c r="M468" s="2">
        <v>88</v>
      </c>
      <c r="N468" s="2">
        <v>53066.1</v>
      </c>
      <c r="O468" s="2" t="s">
        <v>50</v>
      </c>
      <c r="P468" s="2">
        <v>5518</v>
      </c>
      <c r="Q468" s="2" t="s">
        <v>52</v>
      </c>
      <c r="R468" s="2" t="s">
        <v>37</v>
      </c>
      <c r="S468" s="2">
        <v>4</v>
      </c>
      <c r="T468" s="2">
        <v>3</v>
      </c>
      <c r="U468" s="2" t="str" cm="1">
        <f t="array" ref="U468">_xlfn.IFS(N468&gt;200000,"PEAK SALES",N468&gt;100000,"GOOD SALES",N468&gt;50000,"AVERAGE SALES",N468&lt;50000,"PROFIT",N468&lt;10000,"LOSS")</f>
        <v>AVERAGE SALES</v>
      </c>
      <c r="V468" s="2">
        <f t="shared" si="7"/>
        <v>4</v>
      </c>
    </row>
    <row r="469" spans="1:22" x14ac:dyDescent="0.25">
      <c r="A469" s="2">
        <v>2468</v>
      </c>
      <c r="B469" s="2" t="s">
        <v>159</v>
      </c>
      <c r="C469" s="2" t="s">
        <v>46</v>
      </c>
      <c r="D469" s="2" t="s">
        <v>73</v>
      </c>
      <c r="E469" s="2" t="s">
        <v>56</v>
      </c>
      <c r="F469" s="2" t="s">
        <v>48</v>
      </c>
      <c r="G469" s="2" t="s">
        <v>49</v>
      </c>
      <c r="H469" s="2" t="s">
        <v>61</v>
      </c>
      <c r="I469" s="2">
        <v>4</v>
      </c>
      <c r="J469" s="2">
        <v>53219</v>
      </c>
      <c r="K469" s="2">
        <v>29812.89</v>
      </c>
      <c r="L469" s="2">
        <v>21287.599999999999</v>
      </c>
      <c r="M469" s="2">
        <v>124</v>
      </c>
      <c r="N469" s="2">
        <v>204474.71</v>
      </c>
      <c r="O469" s="2" t="s">
        <v>62</v>
      </c>
      <c r="P469" s="2">
        <v>25469</v>
      </c>
      <c r="Q469" s="2" t="s">
        <v>52</v>
      </c>
      <c r="R469" s="2" t="s">
        <v>29</v>
      </c>
      <c r="S469" s="2">
        <v>6</v>
      </c>
      <c r="T469" s="2">
        <v>1</v>
      </c>
      <c r="U469" s="2" t="str" cm="1">
        <f t="array" ref="U469">_xlfn.IFS(N469&gt;200000,"PEAK SALES",N469&gt;100000,"GOOD SALES",N469&gt;50000,"AVERAGE SALES",N469&lt;50000,"PROFIT",N469&lt;10000,"LOSS")</f>
        <v>PEAK SALES</v>
      </c>
      <c r="V469" s="2">
        <f t="shared" si="7"/>
        <v>3</v>
      </c>
    </row>
    <row r="470" spans="1:22" x14ac:dyDescent="0.25">
      <c r="A470" s="2">
        <v>2469</v>
      </c>
      <c r="B470" s="2" t="s">
        <v>76</v>
      </c>
      <c r="C470" s="2" t="s">
        <v>87</v>
      </c>
      <c r="D470" s="2" t="s">
        <v>59</v>
      </c>
      <c r="E470" s="2" t="s">
        <v>54</v>
      </c>
      <c r="F470" s="2" t="s">
        <v>24</v>
      </c>
      <c r="G470" s="2" t="s">
        <v>94</v>
      </c>
      <c r="H470" s="2" t="s">
        <v>26</v>
      </c>
      <c r="I470" s="2">
        <v>5</v>
      </c>
      <c r="J470" s="2">
        <v>40545</v>
      </c>
      <c r="K470" s="2">
        <v>18765.8</v>
      </c>
      <c r="L470" s="2">
        <v>20272.5</v>
      </c>
      <c r="M470" s="2">
        <v>132</v>
      </c>
      <c r="N470" s="2">
        <v>204363.7</v>
      </c>
      <c r="O470" s="2" t="s">
        <v>43</v>
      </c>
      <c r="P470" s="2">
        <v>60762</v>
      </c>
      <c r="Q470" s="2" t="s">
        <v>52</v>
      </c>
      <c r="R470" s="2" t="s">
        <v>44</v>
      </c>
      <c r="S470" s="2">
        <v>6</v>
      </c>
      <c r="T470" s="2">
        <v>3</v>
      </c>
      <c r="U470" s="2" t="str" cm="1">
        <f t="array" ref="U470">_xlfn.IFS(N470&gt;200000,"PEAK SALES",N470&gt;100000,"GOOD SALES",N470&gt;50000,"AVERAGE SALES",N470&lt;50000,"PROFIT",N470&lt;10000,"LOSS")</f>
        <v>PEAK SALES</v>
      </c>
      <c r="V470" s="2">
        <f t="shared" si="7"/>
        <v>1</v>
      </c>
    </row>
    <row r="471" spans="1:22" x14ac:dyDescent="0.25">
      <c r="A471" s="2">
        <v>2470</v>
      </c>
      <c r="B471" s="2" t="s">
        <v>96</v>
      </c>
      <c r="C471" s="2" t="s">
        <v>31</v>
      </c>
      <c r="D471" s="2" t="s">
        <v>59</v>
      </c>
      <c r="E471" s="2" t="s">
        <v>79</v>
      </c>
      <c r="F471" s="2" t="s">
        <v>34</v>
      </c>
      <c r="G471" s="2" t="s">
        <v>60</v>
      </c>
      <c r="H471" s="2" t="s">
        <v>61</v>
      </c>
      <c r="I471" s="2">
        <v>4</v>
      </c>
      <c r="J471" s="2">
        <v>27739</v>
      </c>
      <c r="K471" s="2">
        <v>20725.71</v>
      </c>
      <c r="L471" s="2">
        <v>11095.6</v>
      </c>
      <c r="M471" s="2">
        <v>134</v>
      </c>
      <c r="N471" s="2">
        <v>101459.89</v>
      </c>
      <c r="O471" s="2" t="s">
        <v>43</v>
      </c>
      <c r="P471" s="2">
        <v>20883</v>
      </c>
      <c r="Q471" s="2" t="s">
        <v>63</v>
      </c>
      <c r="R471" s="2" t="s">
        <v>44</v>
      </c>
      <c r="S471" s="2">
        <v>10</v>
      </c>
      <c r="T471" s="2">
        <v>4</v>
      </c>
      <c r="U471" s="2" t="str" cm="1">
        <f t="array" ref="U471">_xlfn.IFS(N471&gt;200000,"PEAK SALES",N471&gt;100000,"GOOD SALES",N471&gt;50000,"AVERAGE SALES",N471&lt;50000,"PROFIT",N471&lt;10000,"LOSS")</f>
        <v>GOOD SALES</v>
      </c>
      <c r="V471" s="2">
        <f t="shared" si="7"/>
        <v>4</v>
      </c>
    </row>
    <row r="472" spans="1:22" x14ac:dyDescent="0.25">
      <c r="A472" s="2">
        <v>2471</v>
      </c>
      <c r="B472" s="2" t="s">
        <v>138</v>
      </c>
      <c r="C472" s="2" t="s">
        <v>72</v>
      </c>
      <c r="D472" s="2" t="s">
        <v>59</v>
      </c>
      <c r="E472" s="2" t="s">
        <v>47</v>
      </c>
      <c r="F472" s="2" t="s">
        <v>24</v>
      </c>
      <c r="G472" s="2" t="s">
        <v>69</v>
      </c>
      <c r="H472" s="2" t="s">
        <v>26</v>
      </c>
      <c r="I472" s="2">
        <v>5</v>
      </c>
      <c r="J472" s="2">
        <v>53861</v>
      </c>
      <c r="K472" s="2">
        <v>27678.74</v>
      </c>
      <c r="L472" s="2">
        <v>26930.5</v>
      </c>
      <c r="M472" s="2">
        <v>240</v>
      </c>
      <c r="N472" s="2">
        <v>268796.76</v>
      </c>
      <c r="O472" s="2" t="s">
        <v>27</v>
      </c>
      <c r="P472" s="2">
        <v>49557</v>
      </c>
      <c r="Q472" s="2" t="s">
        <v>63</v>
      </c>
      <c r="R472" s="2" t="s">
        <v>29</v>
      </c>
      <c r="S472" s="2">
        <v>2</v>
      </c>
      <c r="T472" s="2">
        <v>1</v>
      </c>
      <c r="U472" s="2" t="str" cm="1">
        <f t="array" ref="U472">_xlfn.IFS(N472&gt;200000,"PEAK SALES",N472&gt;100000,"GOOD SALES",N472&gt;50000,"AVERAGE SALES",N472&lt;50000,"PROFIT",N472&lt;10000,"LOSS")</f>
        <v>PEAK SALES</v>
      </c>
      <c r="V472" s="2">
        <f t="shared" si="7"/>
        <v>2</v>
      </c>
    </row>
    <row r="473" spans="1:22" x14ac:dyDescent="0.25">
      <c r="A473" s="2">
        <v>2472</v>
      </c>
      <c r="B473" s="2" t="s">
        <v>101</v>
      </c>
      <c r="C473" s="2" t="s">
        <v>75</v>
      </c>
      <c r="D473" s="2" t="s">
        <v>73</v>
      </c>
      <c r="E473" s="2" t="s">
        <v>40</v>
      </c>
      <c r="F473" s="2" t="s">
        <v>48</v>
      </c>
      <c r="G473" s="2" t="s">
        <v>66</v>
      </c>
      <c r="H473" s="2" t="s">
        <v>42</v>
      </c>
      <c r="I473" s="2">
        <v>1</v>
      </c>
      <c r="J473" s="2">
        <v>5160</v>
      </c>
      <c r="K473" s="2">
        <v>823.34</v>
      </c>
      <c r="L473" s="2">
        <v>516</v>
      </c>
      <c r="M473" s="2">
        <v>472</v>
      </c>
      <c r="N473" s="2">
        <v>5324.66</v>
      </c>
      <c r="O473" s="2" t="s">
        <v>43</v>
      </c>
      <c r="P473" s="2">
        <v>867</v>
      </c>
      <c r="Q473" s="2" t="s">
        <v>52</v>
      </c>
      <c r="R473" s="2" t="s">
        <v>44</v>
      </c>
      <c r="S473" s="2">
        <v>5</v>
      </c>
      <c r="T473" s="2">
        <v>1</v>
      </c>
      <c r="U473" s="2" t="str" cm="1">
        <f t="array" ref="U473">_xlfn.IFS(N473&gt;200000,"PEAK SALES",N473&gt;100000,"GOOD SALES",N473&gt;50000,"AVERAGE SALES",N473&lt;50000,"PROFIT",N473&lt;10000,"LOSS")</f>
        <v>PROFIT</v>
      </c>
      <c r="V473" s="2">
        <f t="shared" si="7"/>
        <v>2</v>
      </c>
    </row>
    <row r="474" spans="1:22" x14ac:dyDescent="0.25">
      <c r="A474" s="2">
        <v>2473</v>
      </c>
      <c r="B474" s="2" t="s">
        <v>183</v>
      </c>
      <c r="C474" s="2" t="s">
        <v>58</v>
      </c>
      <c r="D474" s="2" t="s">
        <v>22</v>
      </c>
      <c r="E474" s="2" t="s">
        <v>40</v>
      </c>
      <c r="F474" s="2" t="s">
        <v>24</v>
      </c>
      <c r="G474" s="2" t="s">
        <v>94</v>
      </c>
      <c r="H474" s="2" t="s">
        <v>61</v>
      </c>
      <c r="I474" s="2">
        <v>5</v>
      </c>
      <c r="J474" s="2">
        <v>45067</v>
      </c>
      <c r="K474" s="2">
        <v>18172.38</v>
      </c>
      <c r="L474" s="2">
        <v>22533.5</v>
      </c>
      <c r="M474" s="2">
        <v>452</v>
      </c>
      <c r="N474" s="2">
        <v>230148.12</v>
      </c>
      <c r="O474" s="2" t="s">
        <v>50</v>
      </c>
      <c r="P474" s="2">
        <v>46109</v>
      </c>
      <c r="Q474" s="2" t="s">
        <v>52</v>
      </c>
      <c r="R474" s="2" t="s">
        <v>29</v>
      </c>
      <c r="S474" s="2">
        <v>2</v>
      </c>
      <c r="T474" s="2">
        <v>3</v>
      </c>
      <c r="U474" s="2" t="str" cm="1">
        <f t="array" ref="U474">_xlfn.IFS(N474&gt;200000,"PEAK SALES",N474&gt;100000,"GOOD SALES",N474&gt;50000,"AVERAGE SALES",N474&lt;50000,"PROFIT",N474&lt;10000,"LOSS")</f>
        <v>PEAK SALES</v>
      </c>
      <c r="V474" s="2">
        <f t="shared" si="7"/>
        <v>4</v>
      </c>
    </row>
    <row r="475" spans="1:22" x14ac:dyDescent="0.25">
      <c r="A475" s="2">
        <v>2474</v>
      </c>
      <c r="B475" s="2" t="s">
        <v>93</v>
      </c>
      <c r="C475" s="2" t="s">
        <v>21</v>
      </c>
      <c r="D475" s="2" t="s">
        <v>22</v>
      </c>
      <c r="E475" s="2" t="s">
        <v>40</v>
      </c>
      <c r="F475" s="2" t="s">
        <v>34</v>
      </c>
      <c r="G475" s="2" t="s">
        <v>41</v>
      </c>
      <c r="H475" s="2" t="s">
        <v>36</v>
      </c>
      <c r="I475" s="2">
        <v>2</v>
      </c>
      <c r="J475" s="2">
        <v>16518</v>
      </c>
      <c r="K475" s="2">
        <v>5042.2299999999996</v>
      </c>
      <c r="L475" s="2">
        <v>3303.6</v>
      </c>
      <c r="M475" s="2">
        <v>325</v>
      </c>
      <c r="N475" s="2">
        <v>31622.37</v>
      </c>
      <c r="O475" s="2" t="s">
        <v>43</v>
      </c>
      <c r="P475" s="2">
        <v>3623</v>
      </c>
      <c r="Q475" s="2" t="s">
        <v>28</v>
      </c>
      <c r="R475" s="2" t="s">
        <v>29</v>
      </c>
      <c r="S475" s="2">
        <v>9</v>
      </c>
      <c r="T475" s="2">
        <v>1</v>
      </c>
      <c r="U475" s="2" t="str" cm="1">
        <f t="array" ref="U475">_xlfn.IFS(N475&gt;200000,"PEAK SALES",N475&gt;100000,"GOOD SALES",N475&gt;50000,"AVERAGE SALES",N475&lt;50000,"PROFIT",N475&lt;10000,"LOSS")</f>
        <v>PROFIT</v>
      </c>
      <c r="V475" s="2">
        <f t="shared" si="7"/>
        <v>4</v>
      </c>
    </row>
    <row r="476" spans="1:22" x14ac:dyDescent="0.25">
      <c r="A476" s="2">
        <v>2475</v>
      </c>
      <c r="B476" s="2" t="s">
        <v>150</v>
      </c>
      <c r="C476" s="2" t="s">
        <v>72</v>
      </c>
      <c r="D476" s="2" t="s">
        <v>73</v>
      </c>
      <c r="E476" s="2" t="s">
        <v>33</v>
      </c>
      <c r="F476" s="2" t="s">
        <v>34</v>
      </c>
      <c r="G476" s="2" t="s">
        <v>41</v>
      </c>
      <c r="H476" s="2" t="s">
        <v>61</v>
      </c>
      <c r="I476" s="2">
        <v>1</v>
      </c>
      <c r="J476" s="2">
        <v>53528</v>
      </c>
      <c r="K476" s="2">
        <v>4490.3500000000004</v>
      </c>
      <c r="L476" s="2">
        <v>5352.8</v>
      </c>
      <c r="M476" s="2">
        <v>299</v>
      </c>
      <c r="N476" s="2">
        <v>54689.45</v>
      </c>
      <c r="O476" s="2" t="s">
        <v>27</v>
      </c>
      <c r="P476" s="2">
        <v>16219</v>
      </c>
      <c r="Q476" s="2" t="s">
        <v>52</v>
      </c>
      <c r="R476" s="2" t="s">
        <v>29</v>
      </c>
      <c r="S476" s="2">
        <v>9</v>
      </c>
      <c r="T476" s="2">
        <v>1</v>
      </c>
      <c r="U476" s="2" t="str" cm="1">
        <f t="array" ref="U476">_xlfn.IFS(N476&gt;200000,"PEAK SALES",N476&gt;100000,"GOOD SALES",N476&gt;50000,"AVERAGE SALES",N476&lt;50000,"PROFIT",N476&lt;10000,"LOSS")</f>
        <v>AVERAGE SALES</v>
      </c>
      <c r="V476" s="2">
        <f t="shared" si="7"/>
        <v>3</v>
      </c>
    </row>
    <row r="477" spans="1:22" x14ac:dyDescent="0.25">
      <c r="A477" s="2">
        <v>2476</v>
      </c>
      <c r="B477" s="2" t="s">
        <v>176</v>
      </c>
      <c r="C477" s="2" t="s">
        <v>21</v>
      </c>
      <c r="D477" s="2" t="s">
        <v>22</v>
      </c>
      <c r="E477" s="2" t="s">
        <v>23</v>
      </c>
      <c r="F477" s="2" t="s">
        <v>34</v>
      </c>
      <c r="G477" s="2" t="s">
        <v>41</v>
      </c>
      <c r="H477" s="2" t="s">
        <v>61</v>
      </c>
      <c r="I477" s="2">
        <v>4</v>
      </c>
      <c r="J477" s="2">
        <v>57451</v>
      </c>
      <c r="K477" s="2">
        <v>42121.24</v>
      </c>
      <c r="L477" s="2">
        <v>22980.400000000001</v>
      </c>
      <c r="M477" s="2">
        <v>406</v>
      </c>
      <c r="N477" s="2">
        <v>211069.16</v>
      </c>
      <c r="O477" s="2" t="s">
        <v>43</v>
      </c>
      <c r="P477" s="2">
        <v>42627</v>
      </c>
      <c r="Q477" s="2" t="s">
        <v>63</v>
      </c>
      <c r="R477" s="2" t="s">
        <v>37</v>
      </c>
      <c r="S477" s="2">
        <v>3</v>
      </c>
      <c r="T477" s="2">
        <v>2</v>
      </c>
      <c r="U477" s="2" t="str" cm="1">
        <f t="array" ref="U477">_xlfn.IFS(N477&gt;200000,"PEAK SALES",N477&gt;100000,"GOOD SALES",N477&gt;50000,"AVERAGE SALES",N477&lt;50000,"PROFIT",N477&lt;10000,"LOSS")</f>
        <v>PEAK SALES</v>
      </c>
      <c r="V477" s="2">
        <f t="shared" si="7"/>
        <v>3</v>
      </c>
    </row>
    <row r="478" spans="1:22" x14ac:dyDescent="0.25">
      <c r="A478" s="2">
        <v>2477</v>
      </c>
      <c r="B478" s="2" t="s">
        <v>169</v>
      </c>
      <c r="C478" s="2" t="s">
        <v>58</v>
      </c>
      <c r="D478" s="2" t="s">
        <v>59</v>
      </c>
      <c r="E478" s="2" t="s">
        <v>79</v>
      </c>
      <c r="F478" s="2" t="s">
        <v>34</v>
      </c>
      <c r="G478" s="2" t="s">
        <v>35</v>
      </c>
      <c r="H478" s="2" t="s">
        <v>61</v>
      </c>
      <c r="I478" s="2">
        <v>1</v>
      </c>
      <c r="J478" s="2">
        <v>55986</v>
      </c>
      <c r="K478" s="2">
        <v>3321.96</v>
      </c>
      <c r="L478" s="2">
        <v>5598.6</v>
      </c>
      <c r="M478" s="2">
        <v>76</v>
      </c>
      <c r="N478" s="2">
        <v>58338.64</v>
      </c>
      <c r="O478" s="2" t="s">
        <v>62</v>
      </c>
      <c r="P478" s="2">
        <v>6434</v>
      </c>
      <c r="Q478" s="2" t="s">
        <v>28</v>
      </c>
      <c r="R478" s="2" t="s">
        <v>37</v>
      </c>
      <c r="S478" s="2">
        <v>8</v>
      </c>
      <c r="T478" s="2">
        <v>5</v>
      </c>
      <c r="U478" s="2" t="str" cm="1">
        <f t="array" ref="U478">_xlfn.IFS(N478&gt;200000,"PEAK SALES",N478&gt;100000,"GOOD SALES",N478&gt;50000,"AVERAGE SALES",N478&lt;50000,"PROFIT",N478&lt;10000,"LOSS")</f>
        <v>AVERAGE SALES</v>
      </c>
      <c r="V478" s="2">
        <f t="shared" si="7"/>
        <v>3</v>
      </c>
    </row>
    <row r="479" spans="1:22" x14ac:dyDescent="0.25">
      <c r="A479" s="2">
        <v>2478</v>
      </c>
      <c r="B479" s="2" t="s">
        <v>108</v>
      </c>
      <c r="C479" s="2" t="s">
        <v>46</v>
      </c>
      <c r="D479" s="2" t="s">
        <v>22</v>
      </c>
      <c r="E479" s="2" t="s">
        <v>23</v>
      </c>
      <c r="F479" s="2" t="s">
        <v>48</v>
      </c>
      <c r="G479" s="2" t="s">
        <v>66</v>
      </c>
      <c r="H479" s="2" t="s">
        <v>26</v>
      </c>
      <c r="I479" s="2">
        <v>2</v>
      </c>
      <c r="J479" s="2">
        <v>55747</v>
      </c>
      <c r="K479" s="2">
        <v>13420.44</v>
      </c>
      <c r="L479" s="2">
        <v>11149.4</v>
      </c>
      <c r="M479" s="2">
        <v>226</v>
      </c>
      <c r="N479" s="2">
        <v>109448.96000000001</v>
      </c>
      <c r="O479" s="2" t="s">
        <v>27</v>
      </c>
      <c r="P479" s="2">
        <v>28071</v>
      </c>
      <c r="Q479" s="2" t="s">
        <v>52</v>
      </c>
      <c r="R479" s="2" t="s">
        <v>29</v>
      </c>
      <c r="S479" s="2">
        <v>8</v>
      </c>
      <c r="T479" s="2">
        <v>3</v>
      </c>
      <c r="U479" s="2" t="str" cm="1">
        <f t="array" ref="U479">_xlfn.IFS(N479&gt;200000,"PEAK SALES",N479&gt;100000,"GOOD SALES",N479&gt;50000,"AVERAGE SALES",N479&lt;50000,"PROFIT",N479&lt;10000,"LOSS")</f>
        <v>GOOD SALES</v>
      </c>
      <c r="V479" s="2">
        <f t="shared" si="7"/>
        <v>1</v>
      </c>
    </row>
    <row r="480" spans="1:22" x14ac:dyDescent="0.25">
      <c r="A480" s="2">
        <v>2479</v>
      </c>
      <c r="B480" s="2" t="s">
        <v>122</v>
      </c>
      <c r="C480" s="2" t="s">
        <v>65</v>
      </c>
      <c r="D480" s="2" t="s">
        <v>73</v>
      </c>
      <c r="E480" s="2" t="s">
        <v>56</v>
      </c>
      <c r="F480" s="2" t="s">
        <v>48</v>
      </c>
      <c r="G480" s="2" t="s">
        <v>49</v>
      </c>
      <c r="H480" s="2" t="s">
        <v>61</v>
      </c>
      <c r="I480" s="2">
        <v>3</v>
      </c>
      <c r="J480" s="2">
        <v>44445</v>
      </c>
      <c r="K480" s="2">
        <v>19367.080000000002</v>
      </c>
      <c r="L480" s="2">
        <v>13333.5</v>
      </c>
      <c r="M480" s="2">
        <v>134</v>
      </c>
      <c r="N480" s="2">
        <v>127435.42</v>
      </c>
      <c r="O480" s="2" t="s">
        <v>43</v>
      </c>
      <c r="P480" s="2">
        <v>27989</v>
      </c>
      <c r="Q480" s="2" t="s">
        <v>63</v>
      </c>
      <c r="R480" s="2" t="s">
        <v>37</v>
      </c>
      <c r="S480" s="2">
        <v>9</v>
      </c>
      <c r="T480" s="2">
        <v>4</v>
      </c>
      <c r="U480" s="2" t="str" cm="1">
        <f t="array" ref="U480">_xlfn.IFS(N480&gt;200000,"PEAK SALES",N480&gt;100000,"GOOD SALES",N480&gt;50000,"AVERAGE SALES",N480&lt;50000,"PROFIT",N480&lt;10000,"LOSS")</f>
        <v>GOOD SALES</v>
      </c>
      <c r="V480" s="2">
        <f t="shared" si="7"/>
        <v>4</v>
      </c>
    </row>
    <row r="481" spans="1:22" x14ac:dyDescent="0.25">
      <c r="A481" s="2">
        <v>2480</v>
      </c>
      <c r="B481" s="2" t="s">
        <v>88</v>
      </c>
      <c r="C481" s="2" t="s">
        <v>72</v>
      </c>
      <c r="D481" s="2" t="s">
        <v>32</v>
      </c>
      <c r="E481" s="2" t="s">
        <v>33</v>
      </c>
      <c r="F481" s="2" t="s">
        <v>34</v>
      </c>
      <c r="G481" s="2" t="s">
        <v>60</v>
      </c>
      <c r="H481" s="2" t="s">
        <v>36</v>
      </c>
      <c r="I481" s="2">
        <v>2</v>
      </c>
      <c r="J481" s="2">
        <v>18178</v>
      </c>
      <c r="K481" s="2">
        <v>4276.3900000000003</v>
      </c>
      <c r="L481" s="2">
        <v>3635.6</v>
      </c>
      <c r="M481" s="2">
        <v>97</v>
      </c>
      <c r="N481" s="2">
        <v>35812.21</v>
      </c>
      <c r="O481" s="2" t="s">
        <v>27</v>
      </c>
      <c r="P481" s="2">
        <v>7754</v>
      </c>
      <c r="Q481" s="2" t="s">
        <v>63</v>
      </c>
      <c r="R481" s="2" t="s">
        <v>37</v>
      </c>
      <c r="S481" s="2">
        <v>9</v>
      </c>
      <c r="T481" s="2">
        <v>1</v>
      </c>
      <c r="U481" s="2" t="str" cm="1">
        <f t="array" ref="U481">_xlfn.IFS(N481&gt;200000,"PEAK SALES",N481&gt;100000,"GOOD SALES",N481&gt;50000,"AVERAGE SALES",N481&lt;50000,"PROFIT",N481&lt;10000,"LOSS")</f>
        <v>PROFIT</v>
      </c>
      <c r="V481" s="2">
        <f t="shared" si="7"/>
        <v>3</v>
      </c>
    </row>
    <row r="482" spans="1:22" x14ac:dyDescent="0.25">
      <c r="A482" s="2">
        <v>2481</v>
      </c>
      <c r="B482" s="2" t="s">
        <v>64</v>
      </c>
      <c r="C482" s="2" t="s">
        <v>21</v>
      </c>
      <c r="D482" s="2" t="s">
        <v>73</v>
      </c>
      <c r="E482" s="2" t="s">
        <v>79</v>
      </c>
      <c r="F482" s="2" t="s">
        <v>34</v>
      </c>
      <c r="G482" s="2" t="s">
        <v>41</v>
      </c>
      <c r="H482" s="2" t="s">
        <v>42</v>
      </c>
      <c r="I482" s="2">
        <v>5</v>
      </c>
      <c r="J482" s="2">
        <v>786</v>
      </c>
      <c r="K482" s="2">
        <v>602.76</v>
      </c>
      <c r="L482" s="2">
        <v>393</v>
      </c>
      <c r="M482" s="2">
        <v>105</v>
      </c>
      <c r="N482" s="2">
        <v>3825.24</v>
      </c>
      <c r="O482" s="2" t="s">
        <v>50</v>
      </c>
      <c r="P482" s="2">
        <v>627</v>
      </c>
      <c r="Q482" s="2" t="s">
        <v>52</v>
      </c>
      <c r="R482" s="2" t="s">
        <v>29</v>
      </c>
      <c r="S482" s="2">
        <v>5</v>
      </c>
      <c r="T482" s="2">
        <v>1</v>
      </c>
      <c r="U482" s="2" t="str" cm="1">
        <f t="array" ref="U482">_xlfn.IFS(N482&gt;200000,"PEAK SALES",N482&gt;100000,"GOOD SALES",N482&gt;50000,"AVERAGE SALES",N482&lt;50000,"PROFIT",N482&lt;10000,"LOSS")</f>
        <v>PROFIT</v>
      </c>
      <c r="V482" s="2">
        <f t="shared" si="7"/>
        <v>1</v>
      </c>
    </row>
    <row r="483" spans="1:22" x14ac:dyDescent="0.25">
      <c r="A483" s="2">
        <v>2482</v>
      </c>
      <c r="B483" s="2" t="s">
        <v>83</v>
      </c>
      <c r="C483" s="2" t="s">
        <v>75</v>
      </c>
      <c r="D483" s="2" t="s">
        <v>73</v>
      </c>
      <c r="E483" s="2" t="s">
        <v>103</v>
      </c>
      <c r="F483" s="2" t="s">
        <v>34</v>
      </c>
      <c r="G483" s="2" t="s">
        <v>60</v>
      </c>
      <c r="H483" s="2" t="s">
        <v>26</v>
      </c>
      <c r="I483" s="2">
        <v>1</v>
      </c>
      <c r="J483" s="2">
        <v>2364</v>
      </c>
      <c r="K483" s="2">
        <v>289.31</v>
      </c>
      <c r="L483" s="2">
        <v>236.4</v>
      </c>
      <c r="M483" s="2">
        <v>422</v>
      </c>
      <c r="N483" s="2">
        <v>2733.09</v>
      </c>
      <c r="O483" s="2" t="s">
        <v>62</v>
      </c>
      <c r="P483" s="2">
        <v>560</v>
      </c>
      <c r="Q483" s="2" t="s">
        <v>52</v>
      </c>
      <c r="R483" s="2" t="s">
        <v>37</v>
      </c>
      <c r="S483" s="2">
        <v>7</v>
      </c>
      <c r="T483" s="2">
        <v>4</v>
      </c>
      <c r="U483" s="2" t="str" cm="1">
        <f t="array" ref="U483">_xlfn.IFS(N483&gt;200000,"PEAK SALES",N483&gt;100000,"GOOD SALES",N483&gt;50000,"AVERAGE SALES",N483&lt;50000,"PROFIT",N483&lt;10000,"LOSS")</f>
        <v>PROFIT</v>
      </c>
      <c r="V483" s="2">
        <f t="shared" si="7"/>
        <v>1</v>
      </c>
    </row>
    <row r="484" spans="1:22" x14ac:dyDescent="0.25">
      <c r="A484" s="2">
        <v>2483</v>
      </c>
      <c r="B484" s="2" t="s">
        <v>156</v>
      </c>
      <c r="C484" s="2" t="s">
        <v>72</v>
      </c>
      <c r="D484" s="2" t="s">
        <v>32</v>
      </c>
      <c r="E484" s="2" t="s">
        <v>40</v>
      </c>
      <c r="F484" s="2" t="s">
        <v>34</v>
      </c>
      <c r="G484" s="2" t="s">
        <v>35</v>
      </c>
      <c r="H484" s="2" t="s">
        <v>36</v>
      </c>
      <c r="I484" s="2">
        <v>3</v>
      </c>
      <c r="J484" s="2">
        <v>3410</v>
      </c>
      <c r="K484" s="2">
        <v>847.66</v>
      </c>
      <c r="L484" s="2">
        <v>1023</v>
      </c>
      <c r="M484" s="2">
        <v>265</v>
      </c>
      <c r="N484" s="2">
        <v>10670.34</v>
      </c>
      <c r="O484" s="2" t="s">
        <v>43</v>
      </c>
      <c r="P484" s="2">
        <v>1718</v>
      </c>
      <c r="Q484" s="2" t="s">
        <v>52</v>
      </c>
      <c r="R484" s="2" t="s">
        <v>44</v>
      </c>
      <c r="S484" s="2">
        <v>9</v>
      </c>
      <c r="T484" s="2">
        <v>4</v>
      </c>
      <c r="U484" s="2" t="str" cm="1">
        <f t="array" ref="U484">_xlfn.IFS(N484&gt;200000,"PEAK SALES",N484&gt;100000,"GOOD SALES",N484&gt;50000,"AVERAGE SALES",N484&lt;50000,"PROFIT",N484&lt;10000,"LOSS")</f>
        <v>PROFIT</v>
      </c>
      <c r="V484" s="2">
        <f t="shared" si="7"/>
        <v>2</v>
      </c>
    </row>
    <row r="485" spans="1:22" x14ac:dyDescent="0.25">
      <c r="A485" s="2">
        <v>2484</v>
      </c>
      <c r="B485" s="2" t="s">
        <v>70</v>
      </c>
      <c r="C485" s="2" t="s">
        <v>65</v>
      </c>
      <c r="D485" s="2" t="s">
        <v>59</v>
      </c>
      <c r="E485" s="2" t="s">
        <v>103</v>
      </c>
      <c r="F485" s="2" t="s">
        <v>48</v>
      </c>
      <c r="G485" s="2" t="s">
        <v>66</v>
      </c>
      <c r="H485" s="2" t="s">
        <v>61</v>
      </c>
      <c r="I485" s="2">
        <v>3</v>
      </c>
      <c r="J485" s="2">
        <v>784</v>
      </c>
      <c r="K485" s="2">
        <v>313.64999999999998</v>
      </c>
      <c r="L485" s="2">
        <v>235.2</v>
      </c>
      <c r="M485" s="2">
        <v>498</v>
      </c>
      <c r="N485" s="2">
        <v>2771.55</v>
      </c>
      <c r="O485" s="2" t="s">
        <v>62</v>
      </c>
      <c r="P485" s="2">
        <v>721</v>
      </c>
      <c r="Q485" s="2" t="s">
        <v>28</v>
      </c>
      <c r="R485" s="2" t="s">
        <v>29</v>
      </c>
      <c r="S485" s="2">
        <v>2</v>
      </c>
      <c r="T485" s="2">
        <v>2</v>
      </c>
      <c r="U485" s="2" t="str" cm="1">
        <f t="array" ref="U485">_xlfn.IFS(N485&gt;200000,"PEAK SALES",N485&gt;100000,"GOOD SALES",N485&gt;50000,"AVERAGE SALES",N485&lt;50000,"PROFIT",N485&lt;10000,"LOSS")</f>
        <v>PROFIT</v>
      </c>
      <c r="V485" s="2">
        <f t="shared" si="7"/>
        <v>1</v>
      </c>
    </row>
    <row r="486" spans="1:22" x14ac:dyDescent="0.25">
      <c r="A486" s="2">
        <v>2485</v>
      </c>
      <c r="B486" s="2" t="s">
        <v>120</v>
      </c>
      <c r="C486" s="2" t="s">
        <v>68</v>
      </c>
      <c r="D486" s="2" t="s">
        <v>32</v>
      </c>
      <c r="E486" s="2" t="s">
        <v>33</v>
      </c>
      <c r="F486" s="2" t="s">
        <v>48</v>
      </c>
      <c r="G486" s="2" t="s">
        <v>77</v>
      </c>
      <c r="H486" s="2" t="s">
        <v>42</v>
      </c>
      <c r="I486" s="2">
        <v>2</v>
      </c>
      <c r="J486" s="2">
        <v>50946</v>
      </c>
      <c r="K486" s="2">
        <v>5144.5</v>
      </c>
      <c r="L486" s="2">
        <v>10189.200000000001</v>
      </c>
      <c r="M486" s="2">
        <v>265</v>
      </c>
      <c r="N486" s="2">
        <v>107201.7</v>
      </c>
      <c r="O486" s="2" t="s">
        <v>50</v>
      </c>
      <c r="P486" s="2">
        <v>25028</v>
      </c>
      <c r="Q486" s="2" t="s">
        <v>28</v>
      </c>
      <c r="R486" s="2" t="s">
        <v>37</v>
      </c>
      <c r="S486" s="2">
        <v>3</v>
      </c>
      <c r="T486" s="2">
        <v>3</v>
      </c>
      <c r="U486" s="2" t="str" cm="1">
        <f t="array" ref="U486">_xlfn.IFS(N486&gt;200000,"PEAK SALES",N486&gt;100000,"GOOD SALES",N486&gt;50000,"AVERAGE SALES",N486&lt;50000,"PROFIT",N486&lt;10000,"LOSS")</f>
        <v>GOOD SALES</v>
      </c>
      <c r="V486" s="2">
        <f t="shared" si="7"/>
        <v>4</v>
      </c>
    </row>
    <row r="487" spans="1:22" x14ac:dyDescent="0.25">
      <c r="A487" s="2">
        <v>2486</v>
      </c>
      <c r="B487" s="2" t="s">
        <v>157</v>
      </c>
      <c r="C487" s="2" t="s">
        <v>75</v>
      </c>
      <c r="D487" s="2" t="s">
        <v>59</v>
      </c>
      <c r="E487" s="2" t="s">
        <v>47</v>
      </c>
      <c r="F487" s="2" t="s">
        <v>48</v>
      </c>
      <c r="G487" s="2" t="s">
        <v>66</v>
      </c>
      <c r="H487" s="2" t="s">
        <v>42</v>
      </c>
      <c r="I487" s="2">
        <v>4</v>
      </c>
      <c r="J487" s="2">
        <v>27642</v>
      </c>
      <c r="K487" s="2">
        <v>6488.67</v>
      </c>
      <c r="L487" s="2">
        <v>11056.8</v>
      </c>
      <c r="M487" s="2">
        <v>182</v>
      </c>
      <c r="N487" s="2">
        <v>115318.13</v>
      </c>
      <c r="O487" s="2" t="s">
        <v>62</v>
      </c>
      <c r="P487" s="2">
        <v>12920</v>
      </c>
      <c r="Q487" s="2" t="s">
        <v>28</v>
      </c>
      <c r="R487" s="2" t="s">
        <v>29</v>
      </c>
      <c r="S487" s="2">
        <v>5</v>
      </c>
      <c r="T487" s="2">
        <v>1</v>
      </c>
      <c r="U487" s="2" t="str" cm="1">
        <f t="array" ref="U487">_xlfn.IFS(N487&gt;200000,"PEAK SALES",N487&gt;100000,"GOOD SALES",N487&gt;50000,"AVERAGE SALES",N487&lt;50000,"PROFIT",N487&lt;10000,"LOSS")</f>
        <v>GOOD SALES</v>
      </c>
      <c r="V487" s="2">
        <f t="shared" si="7"/>
        <v>3</v>
      </c>
    </row>
    <row r="488" spans="1:22" x14ac:dyDescent="0.25">
      <c r="A488" s="2">
        <v>2487</v>
      </c>
      <c r="B488" s="2" t="s">
        <v>151</v>
      </c>
      <c r="C488" s="2" t="s">
        <v>68</v>
      </c>
      <c r="D488" s="2" t="s">
        <v>22</v>
      </c>
      <c r="E488" s="2" t="s">
        <v>54</v>
      </c>
      <c r="F488" s="2" t="s">
        <v>48</v>
      </c>
      <c r="G488" s="2" t="s">
        <v>49</v>
      </c>
      <c r="H488" s="2" t="s">
        <v>42</v>
      </c>
      <c r="I488" s="2">
        <v>1</v>
      </c>
      <c r="J488" s="2">
        <v>32279</v>
      </c>
      <c r="K488" s="2">
        <v>4185.8500000000004</v>
      </c>
      <c r="L488" s="2">
        <v>3227.9</v>
      </c>
      <c r="M488" s="2">
        <v>380</v>
      </c>
      <c r="N488" s="2">
        <v>31701.05</v>
      </c>
      <c r="O488" s="2" t="s">
        <v>62</v>
      </c>
      <c r="P488" s="2">
        <v>5584</v>
      </c>
      <c r="Q488" s="2" t="s">
        <v>52</v>
      </c>
      <c r="R488" s="2" t="s">
        <v>29</v>
      </c>
      <c r="S488" s="2">
        <v>10</v>
      </c>
      <c r="T488" s="2">
        <v>1</v>
      </c>
      <c r="U488" s="2" t="str" cm="1">
        <f t="array" ref="U488">_xlfn.IFS(N488&gt;200000,"PEAK SALES",N488&gt;100000,"GOOD SALES",N488&gt;50000,"AVERAGE SALES",N488&lt;50000,"PROFIT",N488&lt;10000,"LOSS")</f>
        <v>PROFIT</v>
      </c>
      <c r="V488" s="2">
        <f t="shared" si="7"/>
        <v>1</v>
      </c>
    </row>
    <row r="489" spans="1:22" x14ac:dyDescent="0.25">
      <c r="A489" s="2">
        <v>2488</v>
      </c>
      <c r="B489" s="2" t="s">
        <v>177</v>
      </c>
      <c r="C489" s="2" t="s">
        <v>39</v>
      </c>
      <c r="D489" s="2" t="s">
        <v>73</v>
      </c>
      <c r="E489" s="2" t="s">
        <v>103</v>
      </c>
      <c r="F489" s="2" t="s">
        <v>34</v>
      </c>
      <c r="G489" s="2" t="s">
        <v>41</v>
      </c>
      <c r="H489" s="2" t="s">
        <v>42</v>
      </c>
      <c r="I489" s="2">
        <v>4</v>
      </c>
      <c r="J489" s="2">
        <v>34696</v>
      </c>
      <c r="K489" s="2">
        <v>23292.5</v>
      </c>
      <c r="L489" s="2">
        <v>13878.4</v>
      </c>
      <c r="M489" s="2">
        <v>493</v>
      </c>
      <c r="N489" s="2">
        <v>129862.9</v>
      </c>
      <c r="O489" s="2" t="s">
        <v>62</v>
      </c>
      <c r="P489" s="2">
        <v>18696</v>
      </c>
      <c r="Q489" s="2" t="s">
        <v>52</v>
      </c>
      <c r="R489" s="2" t="s">
        <v>44</v>
      </c>
      <c r="S489" s="2">
        <v>4</v>
      </c>
      <c r="T489" s="2">
        <v>3</v>
      </c>
      <c r="U489" s="2" t="str" cm="1">
        <f t="array" ref="U489">_xlfn.IFS(N489&gt;200000,"PEAK SALES",N489&gt;100000,"GOOD SALES",N489&gt;50000,"AVERAGE SALES",N489&lt;50000,"PROFIT",N489&lt;10000,"LOSS")</f>
        <v>GOOD SALES</v>
      </c>
      <c r="V489" s="2">
        <f t="shared" si="7"/>
        <v>4</v>
      </c>
    </row>
    <row r="490" spans="1:22" x14ac:dyDescent="0.25">
      <c r="A490" s="2">
        <v>2489</v>
      </c>
      <c r="B490" s="2" t="s">
        <v>166</v>
      </c>
      <c r="C490" s="2" t="s">
        <v>87</v>
      </c>
      <c r="D490" s="2" t="s">
        <v>73</v>
      </c>
      <c r="E490" s="2" t="s">
        <v>56</v>
      </c>
      <c r="F490" s="2" t="s">
        <v>34</v>
      </c>
      <c r="G490" s="2" t="s">
        <v>35</v>
      </c>
      <c r="H490" s="2" t="s">
        <v>26</v>
      </c>
      <c r="I490" s="2">
        <v>5</v>
      </c>
      <c r="J490" s="2">
        <v>3531</v>
      </c>
      <c r="K490" s="2">
        <v>3181.71</v>
      </c>
      <c r="L490" s="2">
        <v>1765.5</v>
      </c>
      <c r="M490" s="2">
        <v>295</v>
      </c>
      <c r="N490" s="2">
        <v>16533.79</v>
      </c>
      <c r="O490" s="2" t="s">
        <v>50</v>
      </c>
      <c r="P490" s="2">
        <v>4606</v>
      </c>
      <c r="Q490" s="2" t="s">
        <v>52</v>
      </c>
      <c r="R490" s="2" t="s">
        <v>44</v>
      </c>
      <c r="S490" s="2">
        <v>7</v>
      </c>
      <c r="T490" s="2">
        <v>3</v>
      </c>
      <c r="U490" s="2" t="str" cm="1">
        <f t="array" ref="U490">_xlfn.IFS(N490&gt;200000,"PEAK SALES",N490&gt;100000,"GOOD SALES",N490&gt;50000,"AVERAGE SALES",N490&lt;50000,"PROFIT",N490&lt;10000,"LOSS")</f>
        <v>PROFIT</v>
      </c>
      <c r="V490" s="2">
        <f t="shared" si="7"/>
        <v>1</v>
      </c>
    </row>
    <row r="491" spans="1:22" x14ac:dyDescent="0.25">
      <c r="A491" s="2">
        <v>2490</v>
      </c>
      <c r="B491" s="2" t="s">
        <v>184</v>
      </c>
      <c r="C491" s="2" t="s">
        <v>72</v>
      </c>
      <c r="D491" s="2" t="s">
        <v>32</v>
      </c>
      <c r="E491" s="2" t="s">
        <v>47</v>
      </c>
      <c r="F491" s="2" t="s">
        <v>48</v>
      </c>
      <c r="G491" s="2" t="s">
        <v>77</v>
      </c>
      <c r="H491" s="2" t="s">
        <v>42</v>
      </c>
      <c r="I491" s="2">
        <v>2</v>
      </c>
      <c r="J491" s="2">
        <v>56990</v>
      </c>
      <c r="K491" s="2">
        <v>13652.32</v>
      </c>
      <c r="L491" s="2">
        <v>11398</v>
      </c>
      <c r="M491" s="2">
        <v>374</v>
      </c>
      <c r="N491" s="2">
        <v>112099.68</v>
      </c>
      <c r="O491" s="2" t="s">
        <v>27</v>
      </c>
      <c r="P491" s="2">
        <v>19632</v>
      </c>
      <c r="Q491" s="2" t="s">
        <v>52</v>
      </c>
      <c r="R491" s="2" t="s">
        <v>37</v>
      </c>
      <c r="S491" s="2">
        <v>8</v>
      </c>
      <c r="T491" s="2">
        <v>4</v>
      </c>
      <c r="U491" s="2" t="str" cm="1">
        <f t="array" ref="U491">_xlfn.IFS(N491&gt;200000,"PEAK SALES",N491&gt;100000,"GOOD SALES",N491&gt;50000,"AVERAGE SALES",N491&lt;50000,"PROFIT",N491&lt;10000,"LOSS")</f>
        <v>GOOD SALES</v>
      </c>
      <c r="V491" s="2">
        <f t="shared" si="7"/>
        <v>3</v>
      </c>
    </row>
    <row r="492" spans="1:22" x14ac:dyDescent="0.25">
      <c r="A492" s="2">
        <v>2491</v>
      </c>
      <c r="B492" s="2" t="s">
        <v>124</v>
      </c>
      <c r="C492" s="2" t="s">
        <v>39</v>
      </c>
      <c r="D492" s="2" t="s">
        <v>73</v>
      </c>
      <c r="E492" s="2" t="s">
        <v>103</v>
      </c>
      <c r="F492" s="2" t="s">
        <v>34</v>
      </c>
      <c r="G492" s="2" t="s">
        <v>41</v>
      </c>
      <c r="H492" s="2" t="s">
        <v>61</v>
      </c>
      <c r="I492" s="2">
        <v>2</v>
      </c>
      <c r="J492" s="2">
        <v>13947</v>
      </c>
      <c r="K492" s="2">
        <v>2587.67</v>
      </c>
      <c r="L492" s="2">
        <v>2789.4</v>
      </c>
      <c r="M492" s="2">
        <v>244</v>
      </c>
      <c r="N492" s="2">
        <v>28339.73</v>
      </c>
      <c r="O492" s="2" t="s">
        <v>43</v>
      </c>
      <c r="P492" s="2">
        <v>8122</v>
      </c>
      <c r="Q492" s="2" t="s">
        <v>52</v>
      </c>
      <c r="R492" s="2" t="s">
        <v>29</v>
      </c>
      <c r="S492" s="2">
        <v>4</v>
      </c>
      <c r="T492" s="2">
        <v>5</v>
      </c>
      <c r="U492" s="2" t="str" cm="1">
        <f t="array" ref="U492">_xlfn.IFS(N492&gt;200000,"PEAK SALES",N492&gt;100000,"GOOD SALES",N492&gt;50000,"AVERAGE SALES",N492&lt;50000,"PROFIT",N492&lt;10000,"LOSS")</f>
        <v>PROFIT</v>
      </c>
      <c r="V492" s="2">
        <f t="shared" si="7"/>
        <v>4</v>
      </c>
    </row>
    <row r="493" spans="1:22" x14ac:dyDescent="0.25">
      <c r="A493" s="2">
        <v>2492</v>
      </c>
      <c r="B493" s="2" t="s">
        <v>157</v>
      </c>
      <c r="C493" s="2" t="s">
        <v>75</v>
      </c>
      <c r="D493" s="2" t="s">
        <v>22</v>
      </c>
      <c r="E493" s="2" t="s">
        <v>56</v>
      </c>
      <c r="F493" s="2" t="s">
        <v>24</v>
      </c>
      <c r="G493" s="2" t="s">
        <v>25</v>
      </c>
      <c r="H493" s="2" t="s">
        <v>26</v>
      </c>
      <c r="I493" s="2">
        <v>2</v>
      </c>
      <c r="J493" s="2">
        <v>7041</v>
      </c>
      <c r="K493" s="2">
        <v>895.29</v>
      </c>
      <c r="L493" s="2">
        <v>1408.2</v>
      </c>
      <c r="M493" s="2">
        <v>92</v>
      </c>
      <c r="N493" s="2">
        <v>14686.91</v>
      </c>
      <c r="O493" s="2" t="s">
        <v>43</v>
      </c>
      <c r="P493" s="2">
        <v>4182</v>
      </c>
      <c r="Q493" s="2" t="s">
        <v>28</v>
      </c>
      <c r="R493" s="2" t="s">
        <v>37</v>
      </c>
      <c r="S493" s="2">
        <v>2</v>
      </c>
      <c r="T493" s="2">
        <v>5</v>
      </c>
      <c r="U493" s="2" t="str" cm="1">
        <f t="array" ref="U493">_xlfn.IFS(N493&gt;200000,"PEAK SALES",N493&gt;100000,"GOOD SALES",N493&gt;50000,"AVERAGE SALES",N493&lt;50000,"PROFIT",N493&lt;10000,"LOSS")</f>
        <v>PROFIT</v>
      </c>
      <c r="V493" s="2">
        <f t="shared" si="7"/>
        <v>3</v>
      </c>
    </row>
    <row r="494" spans="1:22" x14ac:dyDescent="0.25">
      <c r="A494" s="2">
        <v>2493</v>
      </c>
      <c r="B494" s="2" t="s">
        <v>168</v>
      </c>
      <c r="C494" s="2" t="s">
        <v>21</v>
      </c>
      <c r="D494" s="2" t="s">
        <v>32</v>
      </c>
      <c r="E494" s="2" t="s">
        <v>56</v>
      </c>
      <c r="F494" s="2" t="s">
        <v>24</v>
      </c>
      <c r="G494" s="2" t="s">
        <v>94</v>
      </c>
      <c r="H494" s="2" t="s">
        <v>61</v>
      </c>
      <c r="I494" s="2">
        <v>5</v>
      </c>
      <c r="J494" s="2">
        <v>35320</v>
      </c>
      <c r="K494" s="2">
        <v>12738.09</v>
      </c>
      <c r="L494" s="2">
        <v>17660</v>
      </c>
      <c r="M494" s="2">
        <v>79</v>
      </c>
      <c r="N494" s="2">
        <v>181600.91</v>
      </c>
      <c r="O494" s="2" t="s">
        <v>50</v>
      </c>
      <c r="P494" s="2">
        <v>26839</v>
      </c>
      <c r="Q494" s="2" t="s">
        <v>63</v>
      </c>
      <c r="R494" s="2" t="s">
        <v>37</v>
      </c>
      <c r="S494" s="2">
        <v>9</v>
      </c>
      <c r="T494" s="2">
        <v>3</v>
      </c>
      <c r="U494" s="2" t="str" cm="1">
        <f t="array" ref="U494">_xlfn.IFS(N494&gt;200000,"PEAK SALES",N494&gt;100000,"GOOD SALES",N494&gt;50000,"AVERAGE SALES",N494&lt;50000,"PROFIT",N494&lt;10000,"LOSS")</f>
        <v>GOOD SALES</v>
      </c>
      <c r="V494" s="2">
        <f t="shared" si="7"/>
        <v>3</v>
      </c>
    </row>
    <row r="495" spans="1:22" x14ac:dyDescent="0.25">
      <c r="A495" s="2">
        <v>2494</v>
      </c>
      <c r="B495" s="2" t="s">
        <v>151</v>
      </c>
      <c r="C495" s="2" t="s">
        <v>65</v>
      </c>
      <c r="D495" s="2" t="s">
        <v>22</v>
      </c>
      <c r="E495" s="2" t="s">
        <v>23</v>
      </c>
      <c r="F495" s="2" t="s">
        <v>48</v>
      </c>
      <c r="G495" s="2" t="s">
        <v>49</v>
      </c>
      <c r="H495" s="2" t="s">
        <v>42</v>
      </c>
      <c r="I495" s="2">
        <v>3</v>
      </c>
      <c r="J495" s="2">
        <v>20119</v>
      </c>
      <c r="K495" s="2">
        <v>9051.76</v>
      </c>
      <c r="L495" s="2">
        <v>6035.7</v>
      </c>
      <c r="M495" s="2">
        <v>78</v>
      </c>
      <c r="N495" s="2">
        <v>57418.94</v>
      </c>
      <c r="O495" s="2" t="s">
        <v>27</v>
      </c>
      <c r="P495" s="2">
        <v>16049</v>
      </c>
      <c r="Q495" s="2" t="s">
        <v>52</v>
      </c>
      <c r="R495" s="2" t="s">
        <v>44</v>
      </c>
      <c r="S495" s="2">
        <v>4</v>
      </c>
      <c r="T495" s="2">
        <v>5</v>
      </c>
      <c r="U495" s="2" t="str" cm="1">
        <f t="array" ref="U495">_xlfn.IFS(N495&gt;200000,"PEAK SALES",N495&gt;100000,"GOOD SALES",N495&gt;50000,"AVERAGE SALES",N495&lt;50000,"PROFIT",N495&lt;10000,"LOSS")</f>
        <v>AVERAGE SALES</v>
      </c>
      <c r="V495" s="2">
        <f t="shared" si="7"/>
        <v>1</v>
      </c>
    </row>
    <row r="496" spans="1:22" x14ac:dyDescent="0.25">
      <c r="A496" s="2">
        <v>2495</v>
      </c>
      <c r="B496" s="2" t="s">
        <v>161</v>
      </c>
      <c r="C496" s="2" t="s">
        <v>21</v>
      </c>
      <c r="D496" s="2" t="s">
        <v>22</v>
      </c>
      <c r="E496" s="2" t="s">
        <v>103</v>
      </c>
      <c r="F496" s="2" t="s">
        <v>48</v>
      </c>
      <c r="G496" s="2" t="s">
        <v>49</v>
      </c>
      <c r="H496" s="2" t="s">
        <v>26</v>
      </c>
      <c r="I496" s="2">
        <v>1</v>
      </c>
      <c r="J496" s="2">
        <v>12929</v>
      </c>
      <c r="K496" s="2">
        <v>1034.24</v>
      </c>
      <c r="L496" s="2">
        <v>1292.9000000000001</v>
      </c>
      <c r="M496" s="2">
        <v>351</v>
      </c>
      <c r="N496" s="2">
        <v>13538.66</v>
      </c>
      <c r="O496" s="2" t="s">
        <v>43</v>
      </c>
      <c r="P496" s="2">
        <v>3189</v>
      </c>
      <c r="Q496" s="2" t="s">
        <v>52</v>
      </c>
      <c r="R496" s="2" t="s">
        <v>37</v>
      </c>
      <c r="S496" s="2">
        <v>10</v>
      </c>
      <c r="T496" s="2">
        <v>4</v>
      </c>
      <c r="U496" s="2" t="str" cm="1">
        <f t="array" ref="U496">_xlfn.IFS(N496&gt;200000,"PEAK SALES",N496&gt;100000,"GOOD SALES",N496&gt;50000,"AVERAGE SALES",N496&lt;50000,"PROFIT",N496&lt;10000,"LOSS")</f>
        <v>PROFIT</v>
      </c>
      <c r="V496" s="2">
        <f t="shared" si="7"/>
        <v>2</v>
      </c>
    </row>
    <row r="497" spans="1:22" x14ac:dyDescent="0.25">
      <c r="A497" s="2">
        <v>2496</v>
      </c>
      <c r="B497" s="2" t="s">
        <v>134</v>
      </c>
      <c r="C497" s="2" t="s">
        <v>39</v>
      </c>
      <c r="D497" s="2" t="s">
        <v>73</v>
      </c>
      <c r="E497" s="2" t="s">
        <v>33</v>
      </c>
      <c r="F497" s="2" t="s">
        <v>48</v>
      </c>
      <c r="G497" s="2" t="s">
        <v>49</v>
      </c>
      <c r="H497" s="2" t="s">
        <v>42</v>
      </c>
      <c r="I497" s="2">
        <v>3</v>
      </c>
      <c r="J497" s="2">
        <v>14656</v>
      </c>
      <c r="K497" s="2">
        <v>5913.92</v>
      </c>
      <c r="L497" s="2">
        <v>4396.8</v>
      </c>
      <c r="M497" s="2">
        <v>319</v>
      </c>
      <c r="N497" s="2">
        <v>42769.88</v>
      </c>
      <c r="O497" s="2" t="s">
        <v>43</v>
      </c>
      <c r="P497" s="2">
        <v>4758</v>
      </c>
      <c r="Q497" s="2" t="s">
        <v>28</v>
      </c>
      <c r="R497" s="2" t="s">
        <v>44</v>
      </c>
      <c r="S497" s="2">
        <v>3</v>
      </c>
      <c r="T497" s="2">
        <v>2</v>
      </c>
      <c r="U497" s="2" t="str" cm="1">
        <f t="array" ref="U497">_xlfn.IFS(N497&gt;200000,"PEAK SALES",N497&gt;100000,"GOOD SALES",N497&gt;50000,"AVERAGE SALES",N497&lt;50000,"PROFIT",N497&lt;10000,"LOSS")</f>
        <v>PROFIT</v>
      </c>
      <c r="V497" s="2">
        <f t="shared" si="7"/>
        <v>1</v>
      </c>
    </row>
    <row r="498" spans="1:22" x14ac:dyDescent="0.25">
      <c r="A498" s="2">
        <v>2497</v>
      </c>
      <c r="B498" s="2" t="s">
        <v>98</v>
      </c>
      <c r="C498" s="2" t="s">
        <v>87</v>
      </c>
      <c r="D498" s="2" t="s">
        <v>59</v>
      </c>
      <c r="E498" s="2" t="s">
        <v>33</v>
      </c>
      <c r="F498" s="2" t="s">
        <v>34</v>
      </c>
      <c r="G498" s="2" t="s">
        <v>60</v>
      </c>
      <c r="H498" s="2" t="s">
        <v>36</v>
      </c>
      <c r="I498" s="2">
        <v>3</v>
      </c>
      <c r="J498" s="2">
        <v>52390</v>
      </c>
      <c r="K498" s="2">
        <v>22626.639999999999</v>
      </c>
      <c r="L498" s="2">
        <v>15717</v>
      </c>
      <c r="M498" s="2">
        <v>247</v>
      </c>
      <c r="N498" s="2">
        <v>150507.35999999999</v>
      </c>
      <c r="O498" s="2" t="s">
        <v>62</v>
      </c>
      <c r="P498" s="2">
        <v>30781</v>
      </c>
      <c r="Q498" s="2" t="s">
        <v>52</v>
      </c>
      <c r="R498" s="2" t="s">
        <v>29</v>
      </c>
      <c r="S498" s="2">
        <v>8</v>
      </c>
      <c r="T498" s="2">
        <v>2</v>
      </c>
      <c r="U498" s="2" t="str" cm="1">
        <f t="array" ref="U498">_xlfn.IFS(N498&gt;200000,"PEAK SALES",N498&gt;100000,"GOOD SALES",N498&gt;50000,"AVERAGE SALES",N498&lt;50000,"PROFIT",N498&lt;10000,"LOSS")</f>
        <v>GOOD SALES</v>
      </c>
      <c r="V498" s="2">
        <f t="shared" si="7"/>
        <v>3</v>
      </c>
    </row>
    <row r="499" spans="1:22" x14ac:dyDescent="0.25">
      <c r="A499" s="2">
        <v>2498</v>
      </c>
      <c r="B499" s="2" t="s">
        <v>55</v>
      </c>
      <c r="C499" s="2" t="s">
        <v>58</v>
      </c>
      <c r="D499" s="2" t="s">
        <v>59</v>
      </c>
      <c r="E499" s="2" t="s">
        <v>23</v>
      </c>
      <c r="F499" s="2" t="s">
        <v>24</v>
      </c>
      <c r="G499" s="2" t="s">
        <v>69</v>
      </c>
      <c r="H499" s="2" t="s">
        <v>42</v>
      </c>
      <c r="I499" s="2">
        <v>5</v>
      </c>
      <c r="J499" s="2">
        <v>25118</v>
      </c>
      <c r="K499" s="2">
        <v>14412.84</v>
      </c>
      <c r="L499" s="2">
        <v>12559</v>
      </c>
      <c r="M499" s="2">
        <v>338</v>
      </c>
      <c r="N499" s="2">
        <v>124074.16</v>
      </c>
      <c r="O499" s="2" t="s">
        <v>62</v>
      </c>
      <c r="P499" s="2">
        <v>15055</v>
      </c>
      <c r="Q499" s="2" t="s">
        <v>63</v>
      </c>
      <c r="R499" s="2" t="s">
        <v>29</v>
      </c>
      <c r="S499" s="2">
        <v>6</v>
      </c>
      <c r="T499" s="2">
        <v>2</v>
      </c>
      <c r="U499" s="2" t="str" cm="1">
        <f t="array" ref="U499">_xlfn.IFS(N499&gt;200000,"PEAK SALES",N499&gt;100000,"GOOD SALES",N499&gt;50000,"AVERAGE SALES",N499&lt;50000,"PROFIT",N499&lt;10000,"LOSS")</f>
        <v>GOOD SALES</v>
      </c>
      <c r="V499" s="2">
        <f t="shared" si="7"/>
        <v>2</v>
      </c>
    </row>
    <row r="500" spans="1:22" x14ac:dyDescent="0.25">
      <c r="A500" s="2">
        <v>2499</v>
      </c>
      <c r="B500" s="2" t="s">
        <v>139</v>
      </c>
      <c r="C500" s="2" t="s">
        <v>58</v>
      </c>
      <c r="D500" s="2" t="s">
        <v>22</v>
      </c>
      <c r="E500" s="2" t="s">
        <v>23</v>
      </c>
      <c r="F500" s="2" t="s">
        <v>34</v>
      </c>
      <c r="G500" s="2" t="s">
        <v>41</v>
      </c>
      <c r="H500" s="2" t="s">
        <v>26</v>
      </c>
      <c r="I500" s="2">
        <v>1</v>
      </c>
      <c r="J500" s="2">
        <v>40060</v>
      </c>
      <c r="K500" s="2">
        <v>3682.98</v>
      </c>
      <c r="L500" s="2">
        <v>4006</v>
      </c>
      <c r="M500" s="2">
        <v>495</v>
      </c>
      <c r="N500" s="2">
        <v>40878.019999999997</v>
      </c>
      <c r="O500" s="2" t="s">
        <v>62</v>
      </c>
      <c r="P500" s="2">
        <v>9164</v>
      </c>
      <c r="Q500" s="2" t="s">
        <v>28</v>
      </c>
      <c r="R500" s="2" t="s">
        <v>29</v>
      </c>
      <c r="S500" s="2">
        <v>5</v>
      </c>
      <c r="T500" s="2">
        <v>4</v>
      </c>
      <c r="U500" s="2" t="str" cm="1">
        <f t="array" ref="U500">_xlfn.IFS(N500&gt;200000,"PEAK SALES",N500&gt;100000,"GOOD SALES",N500&gt;50000,"AVERAGE SALES",N500&lt;50000,"PROFIT",N500&lt;10000,"LOSS")</f>
        <v>PROFIT</v>
      </c>
      <c r="V500" s="2">
        <f t="shared" si="7"/>
        <v>3</v>
      </c>
    </row>
    <row r="501" spans="1:22" x14ac:dyDescent="0.25">
      <c r="A501" s="2">
        <v>2500</v>
      </c>
      <c r="B501" s="2" t="s">
        <v>76</v>
      </c>
      <c r="C501" s="2" t="s">
        <v>65</v>
      </c>
      <c r="D501" s="2" t="s">
        <v>59</v>
      </c>
      <c r="E501" s="2" t="s">
        <v>47</v>
      </c>
      <c r="F501" s="2" t="s">
        <v>24</v>
      </c>
      <c r="G501" s="2" t="s">
        <v>69</v>
      </c>
      <c r="H501" s="2" t="s">
        <v>42</v>
      </c>
      <c r="I501" s="2">
        <v>3</v>
      </c>
      <c r="J501" s="2">
        <v>23117</v>
      </c>
      <c r="K501" s="2">
        <v>6894.57</v>
      </c>
      <c r="L501" s="2">
        <v>6935.1</v>
      </c>
      <c r="M501" s="2">
        <v>52</v>
      </c>
      <c r="N501" s="2">
        <v>69443.53</v>
      </c>
      <c r="O501" s="2" t="s">
        <v>50</v>
      </c>
      <c r="P501" s="2">
        <v>18949</v>
      </c>
      <c r="Q501" s="2" t="s">
        <v>63</v>
      </c>
      <c r="R501" s="2" t="s">
        <v>44</v>
      </c>
      <c r="S501" s="2">
        <v>8</v>
      </c>
      <c r="T501" s="2">
        <v>1</v>
      </c>
      <c r="U501" s="2" t="str" cm="1">
        <f t="array" ref="U501">_xlfn.IFS(N501&gt;200000,"PEAK SALES",N501&gt;100000,"GOOD SALES",N501&gt;50000,"AVERAGE SALES",N501&lt;50000,"PROFIT",N501&lt;10000,"LOSS")</f>
        <v>AVERAGE SALES</v>
      </c>
      <c r="V501" s="2">
        <f t="shared" si="7"/>
        <v>1</v>
      </c>
    </row>
  </sheetData>
  <conditionalFormatting sqref="A1:A501">
    <cfRule type="duplicateValues" dxfId="0" priority="1"/>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ssathish50397@gmail.com</cp:lastModifiedBy>
  <dcterms:created xsi:type="dcterms:W3CDTF">2026-04-06T06:25:44Z</dcterms:created>
  <dcterms:modified xsi:type="dcterms:W3CDTF">2026-04-11T11:24:41Z</dcterms:modified>
</cp:coreProperties>
</file>